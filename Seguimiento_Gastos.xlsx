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Resumen" sheetId="2" state="visible" r:id="rId2"/>
    <sheet name="Segmentos" sheetId="3" state="visible" r:id="rId3"/>
    <sheet name="Lé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  <font>
      <name val="Arial"/>
    </font>
    <font>
      <name val="Arial"/>
      <b val="1"/>
      <sz val="14"/>
    </font>
    <font>
      <name val="Arial"/>
      <i val="1"/>
      <color rgb="00808080"/>
      <sz val="9"/>
    </font>
    <font>
      <name val="Arial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4" fontId="2" fillId="3" borderId="0" pivotButton="0" quotePrefix="0" xfId="0"/>
    <xf numFmtId="164" fontId="3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" fontId="0" fillId="3" borderId="0" pivotButton="0" quotePrefix="0" xfId="0"/>
    <xf numFmtId="0" fontId="8" fillId="0" borderId="0" pivotButton="0" quotePrefix="0" xfId="0"/>
    <xf numFmtId="2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7" fillId="3" borderId="0" pivotButton="0" quotePrefix="0" xfId="0"/>
    <xf numFmtId="4" fontId="7" fillId="3" borderId="0" pivotButton="0" quotePrefix="0" xfId="0"/>
    <xf numFmtId="164" fontId="7" fillId="0" borderId="0" pivotButton="0" quotePrefix="0" xfId="0"/>
    <xf numFmtId="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165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Fecha</t>
        </is>
      </c>
      <c r="B1" s="1" t="inlineStr">
        <is>
          <t>Comercio</t>
        </is>
      </c>
      <c r="C1" s="1" t="inlineStr">
        <is>
          <t>Monto</t>
        </is>
      </c>
      <c r="D1" s="1" t="inlineStr">
        <is>
          <t>Moneda</t>
        </is>
      </c>
      <c r="E1" s="1" t="inlineStr">
        <is>
          <t>Tarjeta</t>
        </is>
      </c>
      <c r="F1" s="1" t="inlineStr">
        <is>
          <t>Corte</t>
        </is>
      </c>
      <c r="G1" s="1" t="inlineStr">
        <is>
          <t>Fecha de Pago</t>
        </is>
      </c>
      <c r="H1" s="1" t="inlineStr">
        <is>
          <t>Estado</t>
        </is>
      </c>
      <c r="I1" s="1" t="inlineStr">
        <is>
          <t>Segmento</t>
        </is>
      </c>
      <c r="J1" s="1" t="inlineStr">
        <is>
          <t>Monto S/</t>
        </is>
      </c>
    </row>
    <row r="2">
      <c r="A2" s="5" t="inlineStr">
        <is>
          <t>2026-09-11</t>
        </is>
      </c>
      <c r="B2" s="6" t="inlineStr">
        <is>
          <t>ANTHROPIC* CLAUDE</t>
        </is>
      </c>
      <c r="C2" s="7" t="n">
        <v>23.6</v>
      </c>
      <c r="D2" s="6" t="inlineStr">
        <is>
          <t>Dólares</t>
        </is>
      </c>
      <c r="E2" s="6" t="inlineStr">
        <is>
          <t>BBVA</t>
        </is>
      </c>
      <c r="F2" s="5">
        <f>IF(A2="","",IF(DAY(A2)&lt;=IF(E2="iO",25,10),DATE(YEAR(A2),MONTH(A2),IF(E2="iO",25,10)),DATE(YEAR(A2),MONTH(A2)+1,IF(E2="iO",25,10))))</f>
        <v/>
      </c>
      <c r="G2" s="5">
        <f>IF(F2="","",DATE(YEAR(F2),MONTH(F2)+1,IF(E2="iO",12,5)))</f>
        <v/>
      </c>
      <c r="H2" s="6" t="inlineStr">
        <is>
          <t>Pendiente</t>
        </is>
      </c>
      <c r="I2" s="6" t="inlineStr">
        <is>
          <t>Suscripciones</t>
        </is>
      </c>
      <c r="J2" s="7">
        <f>IF(C2="","",IF(D2="Dólares",C2*Segmentos!$B$4,C2))</f>
        <v/>
      </c>
    </row>
    <row r="3">
      <c r="A3" s="5" t="inlineStr">
        <is>
          <t>2026-09-13</t>
        </is>
      </c>
      <c r="B3" s="6" t="inlineStr">
        <is>
          <t>MERF PRIMAVERA EI</t>
        </is>
      </c>
      <c r="C3" s="7" t="n">
        <v>7.4</v>
      </c>
      <c r="D3" s="6" t="inlineStr">
        <is>
          <t>Soles</t>
        </is>
      </c>
      <c r="E3" s="6" t="inlineStr">
        <is>
          <t>BBVA</t>
        </is>
      </c>
      <c r="F3" s="5">
        <f>IF(A3="","",IF(DAY(A3)&lt;=IF(E3="iO",25,10),DATE(YEAR(A3),MONTH(A3),IF(E3="iO",25,10)),DATE(YEAR(A3),MONTH(A3)+1,IF(E3="iO",25,10))))</f>
        <v/>
      </c>
      <c r="G3" s="5">
        <f>IF(F3="","",DATE(YEAR(F3),MONTH(F3)+1,IF(E3="iO",12,5)))</f>
        <v/>
      </c>
      <c r="H3" s="6" t="inlineStr">
        <is>
          <t>Pendiente</t>
        </is>
      </c>
      <c r="I3" s="6" t="inlineStr">
        <is>
          <t>Comida</t>
        </is>
      </c>
      <c r="J3" s="7">
        <f>IF(C3="","",IF(D3="Dólares",C3*Segmentos!$B$4,C3))</f>
        <v/>
      </c>
    </row>
    <row r="4">
      <c r="A4" s="5" t="inlineStr">
        <is>
          <t>2026-09-16</t>
        </is>
      </c>
      <c r="B4" s="6" t="inlineStr">
        <is>
          <t>JOSESACO CARABAYL</t>
        </is>
      </c>
      <c r="C4" s="7" t="n">
        <v>9</v>
      </c>
      <c r="D4" s="6" t="inlineStr">
        <is>
          <t>Soles</t>
        </is>
      </c>
      <c r="E4" s="6" t="inlineStr">
        <is>
          <t>BBVA</t>
        </is>
      </c>
      <c r="F4" s="5">
        <f>IF(A4="","",IF(DAY(A4)&lt;=IF(E4="iO",25,10),DATE(YEAR(A4),MONTH(A4),IF(E4="iO",25,10)),DATE(YEAR(A4),MONTH(A4)+1,IF(E4="iO",25,10))))</f>
        <v/>
      </c>
      <c r="G4" s="5">
        <f>IF(F4="","",DATE(YEAR(F4),MONTH(F4)+1,IF(E4="iO",12,5)))</f>
        <v/>
      </c>
      <c r="H4" s="6" t="inlineStr">
        <is>
          <t>Pendiente</t>
        </is>
      </c>
      <c r="I4" s="6" t="inlineStr">
        <is>
          <t>Comida</t>
        </is>
      </c>
      <c r="J4" s="7">
        <f>IF(C4="","",IF(D4="Dólares",C4*Segmentos!$B$4,C4))</f>
        <v/>
      </c>
    </row>
    <row r="5">
      <c r="A5" s="5" t="inlineStr">
        <is>
          <t>2026-09-16</t>
        </is>
      </c>
      <c r="B5" s="6" t="inlineStr">
        <is>
          <t>JOSESACO CARABAYL</t>
        </is>
      </c>
      <c r="C5" s="7" t="n">
        <v>4.39</v>
      </c>
      <c r="D5" s="6" t="inlineStr">
        <is>
          <t>Soles</t>
        </is>
      </c>
      <c r="E5" s="6" t="inlineStr">
        <is>
          <t>BBVA</t>
        </is>
      </c>
      <c r="F5" s="5">
        <f>IF(A5="","",IF(DAY(A5)&lt;=IF(E5="iO",25,10),DATE(YEAR(A5),MONTH(A5),IF(E5="iO",25,10)),DATE(YEAR(A5),MONTH(A5)+1,IF(E5="iO",25,10))))</f>
        <v/>
      </c>
      <c r="G5" s="5">
        <f>IF(F5="","",DATE(YEAR(F5),MONTH(F5)+1,IF(E5="iO",12,5)))</f>
        <v/>
      </c>
      <c r="H5" s="6" t="inlineStr">
        <is>
          <t>Pendiente</t>
        </is>
      </c>
      <c r="I5" s="6" t="inlineStr">
        <is>
          <t>Comida</t>
        </is>
      </c>
      <c r="J5" s="7">
        <f>IF(C5="","",IF(D5="Dólares",C5*Segmentos!$B$4,C5))</f>
        <v/>
      </c>
    </row>
    <row r="6">
      <c r="A6" s="5" t="inlineStr">
        <is>
          <t>2026-09-20</t>
        </is>
      </c>
      <c r="B6" s="6" t="inlineStr">
        <is>
          <t>DLC*RAPPI PERU</t>
        </is>
      </c>
      <c r="C6" s="7" t="n">
        <v>65.7</v>
      </c>
      <c r="D6" s="6" t="inlineStr">
        <is>
          <t>Soles</t>
        </is>
      </c>
      <c r="E6" s="6" t="inlineStr">
        <is>
          <t>BBVA</t>
        </is>
      </c>
      <c r="F6" s="5">
        <f>IF(A6="","",IF(DAY(A6)&lt;=IF(E6="iO",25,10),DATE(YEAR(A6),MONTH(A6),IF(E6="iO",25,10)),DATE(YEAR(A6),MONTH(A6)+1,IF(E6="iO",25,10))))</f>
        <v/>
      </c>
      <c r="G6" s="5">
        <f>IF(F6="","",DATE(YEAR(F6),MONTH(F6)+1,IF(E6="iO",12,5)))</f>
        <v/>
      </c>
      <c r="H6" s="6" t="inlineStr">
        <is>
          <t>Pendiente</t>
        </is>
      </c>
      <c r="I6" s="6" t="inlineStr">
        <is>
          <t>Comida</t>
        </is>
      </c>
      <c r="J6" s="7">
        <f>IF(C6="","",IF(D6="Dólares",C6*Segmentos!$B$4,C6))</f>
        <v/>
      </c>
    </row>
    <row r="7">
      <c r="A7" s="5" t="inlineStr">
        <is>
          <t>2026-09-20</t>
        </is>
      </c>
      <c r="B7" s="6" t="inlineStr">
        <is>
          <t>LOS JARDINES</t>
        </is>
      </c>
      <c r="C7" s="7" t="n">
        <v>15</v>
      </c>
      <c r="D7" s="6" t="inlineStr">
        <is>
          <t>Soles</t>
        </is>
      </c>
      <c r="E7" s="6" t="inlineStr">
        <is>
          <t>BBVA</t>
        </is>
      </c>
      <c r="F7" s="5">
        <f>IF(A7="","",IF(DAY(A7)&lt;=IF(E7="iO",25,10),DATE(YEAR(A7),MONTH(A7),IF(E7="iO",25,10)),DATE(YEAR(A7),MONTH(A7)+1,IF(E7="iO",25,10))))</f>
        <v/>
      </c>
      <c r="G7" s="5">
        <f>IF(F7="","",DATE(YEAR(F7),MONTH(F7)+1,IF(E7="iO",12,5)))</f>
        <v/>
      </c>
      <c r="H7" s="6" t="inlineStr">
        <is>
          <t>Pendiente</t>
        </is>
      </c>
      <c r="I7" s="6" t="inlineStr">
        <is>
          <t>Comida</t>
        </is>
      </c>
      <c r="J7" s="7">
        <f>IF(C7="","",IF(D7="Dólares",C7*Segmentos!$B$4,C7))</f>
        <v/>
      </c>
    </row>
    <row r="8">
      <c r="A8" s="5" t="inlineStr">
        <is>
          <t>2026-09-20</t>
        </is>
      </c>
      <c r="B8" s="6" t="inlineStr">
        <is>
          <t>LOS JARDINES</t>
        </is>
      </c>
      <c r="C8" s="7" t="n">
        <v>20</v>
      </c>
      <c r="D8" s="6" t="inlineStr">
        <is>
          <t>Soles</t>
        </is>
      </c>
      <c r="E8" s="6" t="inlineStr">
        <is>
          <t>BBVA</t>
        </is>
      </c>
      <c r="F8" s="5">
        <f>IF(A8="","",IF(DAY(A8)&lt;=IF(E8="iO",25,10),DATE(YEAR(A8),MONTH(A8),IF(E8="iO",25,10)),DATE(YEAR(A8),MONTH(A8)+1,IF(E8="iO",25,10))))</f>
        <v/>
      </c>
      <c r="G8" s="5">
        <f>IF(F8="","",DATE(YEAR(F8),MONTH(F8)+1,IF(E8="iO",12,5)))</f>
        <v/>
      </c>
      <c r="H8" s="6" t="inlineStr">
        <is>
          <t>Pendiente</t>
        </is>
      </c>
      <c r="I8" s="6" t="inlineStr">
        <is>
          <t>Comida</t>
        </is>
      </c>
      <c r="J8" s="7">
        <f>IF(C8="","",IF(D8="Dólares",C8*Segmentos!$B$4,C8))</f>
        <v/>
      </c>
    </row>
    <row r="9">
      <c r="A9" s="5" t="n">
        <v>46292</v>
      </c>
      <c r="B9" s="6" t="inlineStr">
        <is>
          <t>APPARKA APS</t>
        </is>
      </c>
      <c r="C9" s="7" t="n">
        <v>7.9</v>
      </c>
      <c r="D9" s="6" t="inlineStr">
        <is>
          <t>Soles</t>
        </is>
      </c>
      <c r="E9" s="6" t="inlineStr">
        <is>
          <t>iO</t>
        </is>
      </c>
      <c r="F9" s="5">
        <f>IF(A9="","",IF(DAY(A9)&lt;=IF(E9="iO",25,10),DATE(YEAR(A9),MONTH(A9),IF(E9="iO",25,10)),DATE(YEAR(A9),MONTH(A9)+1,IF(E9="iO",25,10))))</f>
        <v/>
      </c>
      <c r="G9" s="5">
        <f>IF(F9="","",DATE(YEAR(F9),MONTH(F9)+1,IF(E9="iO",12,5)))</f>
        <v/>
      </c>
      <c r="H9" s="6" t="inlineStr">
        <is>
          <t>Pendiente</t>
        </is>
      </c>
      <c r="I9" s="6" t="inlineStr">
        <is>
          <t>Transporte</t>
        </is>
      </c>
      <c r="J9" s="7">
        <f>IF(C9="","",IF(D9="Dólares",C9*Segmentos!$B$4,C9))</f>
        <v/>
      </c>
    </row>
    <row r="10">
      <c r="A10" s="5" t="n">
        <v>46292</v>
      </c>
      <c r="B10" s="6" t="inlineStr">
        <is>
          <t>BESO FRANCES</t>
        </is>
      </c>
      <c r="C10" s="7" t="n">
        <v>20</v>
      </c>
      <c r="D10" s="6" t="inlineStr">
        <is>
          <t>Soles</t>
        </is>
      </c>
      <c r="E10" s="6" t="inlineStr">
        <is>
          <t>iO</t>
        </is>
      </c>
      <c r="F10" s="5">
        <f>IF(A10="","",IF(DAY(A10)&lt;=IF(E10="iO",25,10),DATE(YEAR(A10),MONTH(A10),IF(E10="iO",25,10)),DATE(YEAR(A10),MONTH(A10)+1,IF(E10="iO",25,10))))</f>
        <v/>
      </c>
      <c r="G10" s="5">
        <f>IF(F10="","",DATE(YEAR(F10),MONTH(F10)+1,IF(E10="iO",12,5)))</f>
        <v/>
      </c>
      <c r="H10" s="6" t="inlineStr">
        <is>
          <t>Pendiente</t>
        </is>
      </c>
      <c r="I10" s="6" t="inlineStr">
        <is>
          <t>Comida</t>
        </is>
      </c>
      <c r="J10" s="7">
        <f>IF(C10="","",IF(D10="Dólares",C10*Segmentos!$B$4,C10))</f>
        <v/>
      </c>
    </row>
    <row r="11">
      <c r="A11" s="5" t="n">
        <v>46292</v>
      </c>
      <c r="B11" s="6" t="inlineStr">
        <is>
          <t>PEAJES CASET</t>
        </is>
      </c>
      <c r="C11" s="7" t="n">
        <v>6.3</v>
      </c>
      <c r="D11" s="6" t="inlineStr">
        <is>
          <t>Soles</t>
        </is>
      </c>
      <c r="E11" s="6" t="inlineStr">
        <is>
          <t>iO</t>
        </is>
      </c>
      <c r="F11" s="5">
        <f>IF(A11="","",IF(DAY(A11)&lt;=IF(E11="iO",25,10),DATE(YEAR(A11),MONTH(A11),IF(E11="iO",25,10)),DATE(YEAR(A11),MONTH(A11)+1,IF(E11="iO",25,10))))</f>
        <v/>
      </c>
      <c r="G11" s="5">
        <f>IF(F11="","",DATE(YEAR(F11),MONTH(F11)+1,IF(E11="iO",12,5)))</f>
        <v/>
      </c>
      <c r="H11" s="6" t="inlineStr">
        <is>
          <t>Pendiente</t>
        </is>
      </c>
      <c r="I11" s="6" t="inlineStr">
        <is>
          <t>Transporte</t>
        </is>
      </c>
      <c r="J11" s="7">
        <f>IF(C11="","",IF(D11="Dólares",C11*Segmentos!$B$4,C11))</f>
        <v/>
      </c>
    </row>
    <row r="12">
      <c r="A12" s="5" t="n">
        <v>46292</v>
      </c>
      <c r="B12" s="6" t="inlineStr">
        <is>
          <t>CEVICHERIA G</t>
        </is>
      </c>
      <c r="C12" s="7" t="n">
        <v>110</v>
      </c>
      <c r="D12" s="6" t="inlineStr">
        <is>
          <t>Soles</t>
        </is>
      </c>
      <c r="E12" s="6" t="inlineStr">
        <is>
          <t>iO</t>
        </is>
      </c>
      <c r="F12" s="5">
        <f>IF(A12="","",IF(DAY(A12)&lt;=IF(E12="iO",25,10),DATE(YEAR(A12),MONTH(A12),IF(E12="iO",25,10)),DATE(YEAR(A12),MONTH(A12)+1,IF(E12="iO",25,10))))</f>
        <v/>
      </c>
      <c r="G12" s="5">
        <f>IF(F12="","",DATE(YEAR(F12),MONTH(F12)+1,IF(E12="iO",12,5)))</f>
        <v/>
      </c>
      <c r="H12" s="6" t="inlineStr">
        <is>
          <t>Pendiente</t>
        </is>
      </c>
      <c r="I12" s="6" t="inlineStr">
        <is>
          <t>Comida</t>
        </is>
      </c>
      <c r="J12" s="7">
        <f>IF(C12="","",IF(D12="Dólares",C12*Segmentos!$B$4,C12))</f>
        <v/>
      </c>
    </row>
    <row r="13">
      <c r="A13" s="5" t="n">
        <v>46293</v>
      </c>
      <c r="B13" s="6" t="inlineStr">
        <is>
          <t>MERF PRIMAVE</t>
        </is>
      </c>
      <c r="C13" s="7" t="n">
        <v>57.4</v>
      </c>
      <c r="D13" s="6" t="inlineStr">
        <is>
          <t>Soles</t>
        </is>
      </c>
      <c r="E13" s="6" t="inlineStr">
        <is>
          <t>iO</t>
        </is>
      </c>
      <c r="F13" s="5">
        <f>IF(A13="","",IF(DAY(A13)&lt;=IF(E13="iO",25,10),DATE(YEAR(A13),MONTH(A13),IF(E13="iO",25,10)),DATE(YEAR(A13),MONTH(A13)+1,IF(E13="iO",25,10))))</f>
        <v/>
      </c>
      <c r="G13" s="5">
        <f>IF(F13="","",DATE(YEAR(F13),MONTH(F13)+1,IF(E13="iO",12,5)))</f>
        <v/>
      </c>
      <c r="H13" s="6" t="inlineStr">
        <is>
          <t>Pendiente</t>
        </is>
      </c>
      <c r="I13" s="6" t="inlineStr">
        <is>
          <t>Comida</t>
        </is>
      </c>
      <c r="J13" s="7">
        <f>IF(C13="","",IF(D13="Dólares",C13*Segmentos!$B$4,C13))</f>
        <v/>
      </c>
    </row>
    <row r="14">
      <c r="A14" s="5" t="n">
        <v>46293</v>
      </c>
      <c r="B14" s="6" t="inlineStr">
        <is>
          <t>CINEMARK</t>
        </is>
      </c>
      <c r="C14" s="7" t="n">
        <v>87</v>
      </c>
      <c r="D14" s="6" t="inlineStr">
        <is>
          <t>Soles</t>
        </is>
      </c>
      <c r="E14" s="6" t="inlineStr">
        <is>
          <t>iO</t>
        </is>
      </c>
      <c r="F14" s="5">
        <f>IF(A14="","",IF(DAY(A14)&lt;=IF(E14="iO",25,10),DATE(YEAR(A14),MONTH(A14),IF(E14="iO",25,10)),DATE(YEAR(A14),MONTH(A14)+1,IF(E14="iO",25,10))))</f>
        <v/>
      </c>
      <c r="G14" s="5">
        <f>IF(F14="","",DATE(YEAR(F14),MONTH(F14)+1,IF(E14="iO",12,5)))</f>
        <v/>
      </c>
      <c r="H14" s="6" t="inlineStr">
        <is>
          <t>Pendiente</t>
        </is>
      </c>
      <c r="I14" s="6" t="inlineStr">
        <is>
          <t>Ocio</t>
        </is>
      </c>
      <c r="J14" s="7">
        <f>IF(C14="","",IF(D14="Dólares",C14*Segmentos!$B$4,C14))</f>
        <v/>
      </c>
    </row>
    <row r="15">
      <c r="A15" s="5" t="n">
        <v>46293</v>
      </c>
      <c r="B15" s="6" t="inlineStr">
        <is>
          <t>ZARA</t>
        </is>
      </c>
      <c r="C15" s="7" t="n">
        <v>190</v>
      </c>
      <c r="D15" s="6" t="inlineStr">
        <is>
          <t>Soles</t>
        </is>
      </c>
      <c r="E15" s="6" t="inlineStr">
        <is>
          <t>iO</t>
        </is>
      </c>
      <c r="F15" s="5">
        <f>IF(A15="","",IF(DAY(A15)&lt;=IF(E15="iO",25,10),DATE(YEAR(A15),MONTH(A15),IF(E15="iO",25,10)),DATE(YEAR(A15),MONTH(A15)+1,IF(E15="iO",25,10))))</f>
        <v/>
      </c>
      <c r="G15" s="5">
        <f>IF(F15="","",DATE(YEAR(F15),MONTH(F15)+1,IF(E15="iO",12,5)))</f>
        <v/>
      </c>
      <c r="H15" s="6" t="inlineStr">
        <is>
          <t>Pendiente</t>
        </is>
      </c>
      <c r="I15" s="6" t="inlineStr">
        <is>
          <t>Ropa y compras</t>
        </is>
      </c>
      <c r="J15" s="7">
        <f>IF(C15="","",IF(D15="Dólares",C15*Segmentos!$B$4,C15))</f>
        <v/>
      </c>
    </row>
    <row r="16">
      <c r="A16" s="5" t="n">
        <v>46295</v>
      </c>
      <c r="B16" s="6" t="inlineStr">
        <is>
          <t>Gasto pareja</t>
        </is>
      </c>
      <c r="C16" s="7" t="n">
        <v>148</v>
      </c>
      <c r="D16" s="6" t="inlineStr">
        <is>
          <t>Dólares</t>
        </is>
      </c>
      <c r="E16" s="6" t="inlineStr">
        <is>
          <t>pareja</t>
        </is>
      </c>
      <c r="F16" s="5">
        <f>IF(A16="","",IF(DAY(A16)&lt;=IF(E16="iO",25,10),DATE(YEAR(A16),MONTH(A16),IF(E16="iO",25,10)),DATE(YEAR(A16),MONTH(A16)+1,IF(E16="iO",25,10))))</f>
        <v/>
      </c>
      <c r="G16" s="5" t="n">
        <v>46346</v>
      </c>
      <c r="H16" s="6" t="inlineStr">
        <is>
          <t>Pendiente</t>
        </is>
      </c>
      <c r="I16" s="6" t="inlineStr">
        <is>
          <t>Pareja</t>
        </is>
      </c>
      <c r="J16" s="7">
        <f>IF(C16="","",IF(D16="Dólares",C16*Segmentos!$B$4,C16))</f>
        <v/>
      </c>
    </row>
    <row r="17">
      <c r="A17" s="5" t="n">
        <v>46306</v>
      </c>
      <c r="B17" s="6" t="inlineStr">
        <is>
          <t>GlobalE /Ralph La</t>
        </is>
      </c>
      <c r="C17" s="7" t="n">
        <v>300</v>
      </c>
      <c r="D17" s="6" t="inlineStr">
        <is>
          <t>Soles</t>
        </is>
      </c>
      <c r="E17" s="6" t="inlineStr">
        <is>
          <t>BBVA</t>
        </is>
      </c>
      <c r="F17" s="5">
        <f>IF(A17="","",IF(DAY(A17)&lt;=IF(E17="iO",25,10),DATE(YEAR(A17),MONTH(A17),IF(E17="iO",25,10)),DATE(YEAR(A17),MONTH(A17)+1,IF(E17="iO",25,10))))</f>
        <v/>
      </c>
      <c r="G17" s="5">
        <f>IF(F17="","",DATE(YEAR(F17),MONTH(F17)+1,IF(E17="iO",12,5)))</f>
        <v/>
      </c>
      <c r="H17" s="6" t="inlineStr">
        <is>
          <t>Pendiente</t>
        </is>
      </c>
      <c r="I17" s="6" t="inlineStr">
        <is>
          <t>Ropa y compras</t>
        </is>
      </c>
      <c r="J17" s="7">
        <f>IF(C17="","",IF(D17="Dólares",C17*Segmentos!$B$4,C17))</f>
        <v/>
      </c>
    </row>
    <row r="18">
      <c r="A18" s="5" t="n">
        <v>46306</v>
      </c>
      <c r="B18" s="6" t="inlineStr">
        <is>
          <t>ANTHROPIC* CLAUDE</t>
        </is>
      </c>
      <c r="C18" s="7" t="n">
        <v>23.6</v>
      </c>
      <c r="D18" s="6" t="inlineStr">
        <is>
          <t>Dólares</t>
        </is>
      </c>
      <c r="E18" s="6" t="inlineStr">
        <is>
          <t>BBVA</t>
        </is>
      </c>
      <c r="F18" s="5">
        <f>IF(A18="","",IF(DAY(A18)&lt;=IF(E18="iO",25,10),DATE(YEAR(A18),MONTH(A18),IF(E18="iO",25,10)),DATE(YEAR(A18),MONTH(A18)+1,IF(E18="iO",25,10))))</f>
        <v/>
      </c>
      <c r="G18" s="5">
        <f>IF(F18="","",DATE(YEAR(F18),MONTH(F18)+1,IF(E18="iO",12,5)))</f>
        <v/>
      </c>
      <c r="H18" s="6" t="inlineStr">
        <is>
          <t>Pendiente</t>
        </is>
      </c>
      <c r="I18" s="6" t="inlineStr">
        <is>
          <t>Suscripciones</t>
        </is>
      </c>
      <c r="J18" s="7">
        <f>IF(C18="","",IF(D18="Dólares",C18*Segmentos!$B$4,C18))</f>
        <v/>
      </c>
    </row>
    <row r="19">
      <c r="A19" s="5" t="n">
        <v>46306</v>
      </c>
      <c r="B19" s="6" t="inlineStr">
        <is>
          <t>LA LENA MALL DE C</t>
        </is>
      </c>
      <c r="C19" s="7" t="n">
        <v>102.7</v>
      </c>
      <c r="D19" s="6" t="inlineStr">
        <is>
          <t>Soles</t>
        </is>
      </c>
      <c r="E19" s="6" t="inlineStr">
        <is>
          <t>BBVA</t>
        </is>
      </c>
      <c r="F19" s="5">
        <f>IF(A19="","",IF(DAY(A19)&lt;=IF(E19="iO",25,10),DATE(YEAR(A19),MONTH(A19),IF(E19="iO",25,10)),DATE(YEAR(A19),MONTH(A19)+1,IF(E19="iO",25,10))))</f>
        <v/>
      </c>
      <c r="G19" s="5">
        <f>IF(F19="","",DATE(YEAR(F19),MONTH(F19)+1,IF(E19="iO",12,5)))</f>
        <v/>
      </c>
      <c r="H19" s="6" t="inlineStr">
        <is>
          <t>Pendiente</t>
        </is>
      </c>
      <c r="I19" s="6" t="inlineStr">
        <is>
          <t>Comida</t>
        </is>
      </c>
      <c r="J19" s="7">
        <f>IF(C19="","",IF(D19="Dólares",C19*Segmentos!$B$4,C19))</f>
        <v/>
      </c>
    </row>
    <row r="20">
      <c r="A20" s="5" t="n">
        <v>46306</v>
      </c>
      <c r="B20" s="6" t="inlineStr">
        <is>
          <t>LIDERMAN PARKING</t>
        </is>
      </c>
      <c r="C20" s="7" t="n">
        <v>7</v>
      </c>
      <c r="D20" s="6" t="inlineStr">
        <is>
          <t>Soles</t>
        </is>
      </c>
      <c r="E20" s="6" t="inlineStr">
        <is>
          <t>BBVA</t>
        </is>
      </c>
      <c r="F20" s="5">
        <f>IF(A20="","",IF(DAY(A20)&lt;=IF(E20="iO",25,10),DATE(YEAR(A20),MONTH(A20),IF(E20="iO",25,10)),DATE(YEAR(A20),MONTH(A20)+1,IF(E20="iO",25,10))))</f>
        <v/>
      </c>
      <c r="G20" s="5">
        <f>IF(F20="","",DATE(YEAR(F20),MONTH(F20)+1,IF(E20="iO",12,5)))</f>
        <v/>
      </c>
      <c r="H20" s="6" t="inlineStr">
        <is>
          <t>Pendiente</t>
        </is>
      </c>
      <c r="I20" s="6" t="inlineStr">
        <is>
          <t>Transporte</t>
        </is>
      </c>
      <c r="J20" s="7">
        <f>IF(C20="","",IF(D20="Dólares",C20*Segmentos!$B$4,C20))</f>
        <v/>
      </c>
    </row>
    <row r="21">
      <c r="A21" s="5" t="n"/>
      <c r="B21" s="6" t="n"/>
      <c r="C21" s="7" t="n"/>
      <c r="D21" s="6" t="n"/>
      <c r="E21" s="6" t="n"/>
      <c r="F21" s="5">
        <f>IF(A21="","",IF(DAY(A21)&lt;=IF(E21="iO",25,10),DATE(YEAR(A21),MONTH(A21),IF(E21="iO",25,10)),DATE(YEAR(A21),MONTH(A21)+1,IF(E21="iO",25,10))))</f>
        <v/>
      </c>
      <c r="G21" s="5">
        <f>IF(F21="","",DATE(YEAR(F21),MONTH(F21)+1,IF(E21="iO",12,5)))</f>
        <v/>
      </c>
      <c r="H21" s="6" t="n"/>
      <c r="I21" s="6" t="n"/>
      <c r="J21" s="7">
        <f>IF(C21="","",IF(D21="Dólares",C21*Segmentos!$B$4,C21))</f>
        <v/>
      </c>
    </row>
    <row r="22">
      <c r="A22" s="5" t="n"/>
      <c r="B22" s="6" t="n"/>
      <c r="C22" s="7" t="n"/>
      <c r="D22" s="6" t="n"/>
      <c r="E22" s="6" t="n"/>
      <c r="F22" s="5">
        <f>IF(A22="","",IF(DAY(A22)&lt;=IF(E22="iO",25,10),DATE(YEAR(A22),MONTH(A22),IF(E22="iO",25,10)),DATE(YEAR(A22),MONTH(A22)+1,IF(E22="iO",25,10))))</f>
        <v/>
      </c>
      <c r="G22" s="5">
        <f>IF(F22="","",DATE(YEAR(F22),MONTH(F22)+1,IF(E22="iO",12,5)))</f>
        <v/>
      </c>
      <c r="H22" s="6" t="n"/>
      <c r="I22" s="6" t="n"/>
      <c r="J22" s="7">
        <f>IF(C22="","",IF(D22="Dólares",C22*Segmentos!$B$4,C22))</f>
        <v/>
      </c>
    </row>
    <row r="23">
      <c r="A23" s="5" t="n"/>
      <c r="B23" s="6" t="n"/>
      <c r="C23" s="7" t="n"/>
      <c r="D23" s="6" t="n"/>
      <c r="E23" s="6" t="n"/>
      <c r="F23" s="5">
        <f>IF(A23="","",IF(DAY(A23)&lt;=IF(E23="iO",25,10),DATE(YEAR(A23),MONTH(A23),IF(E23="iO",25,10)),DATE(YEAR(A23),MONTH(A23)+1,IF(E23="iO",25,10))))</f>
        <v/>
      </c>
      <c r="G23" s="5">
        <f>IF(F23="","",DATE(YEAR(F23),MONTH(F23)+1,IF(E23="iO",12,5)))</f>
        <v/>
      </c>
      <c r="H23" s="6" t="n"/>
      <c r="I23" s="6" t="n"/>
      <c r="J23" s="7">
        <f>IF(C23="","",IF(D23="Dólares",C23*Segmentos!$B$4,C23))</f>
        <v/>
      </c>
    </row>
    <row r="24">
      <c r="A24" s="5" t="n"/>
      <c r="B24" s="6" t="n"/>
      <c r="C24" s="7" t="n"/>
      <c r="D24" s="6" t="n"/>
      <c r="E24" s="6" t="n"/>
      <c r="F24" s="5">
        <f>IF(A24="","",IF(DAY(A24)&lt;=IF(E24="iO",25,10),DATE(YEAR(A24),MONTH(A24),IF(E24="iO",25,10)),DATE(YEAR(A24),MONTH(A24)+1,IF(E24="iO",25,10))))</f>
        <v/>
      </c>
      <c r="G24" s="5">
        <f>IF(F24="","",DATE(YEAR(F24),MONTH(F24)+1,IF(E24="iO",12,5)))</f>
        <v/>
      </c>
      <c r="H24" s="6" t="n"/>
      <c r="I24" s="6" t="n"/>
      <c r="J24" s="7">
        <f>IF(C24="","",IF(D24="Dólares",C24*Segmentos!$B$4,C24))</f>
        <v/>
      </c>
    </row>
    <row r="25">
      <c r="A25" s="5" t="n"/>
      <c r="B25" s="6" t="n"/>
      <c r="C25" s="7" t="n"/>
      <c r="D25" s="6" t="n"/>
      <c r="E25" s="6" t="n"/>
      <c r="F25" s="5">
        <f>IF(A25="","",IF(DAY(A25)&lt;=IF(E25="iO",25,10),DATE(YEAR(A25),MONTH(A25),IF(E25="iO",25,10)),DATE(YEAR(A25),MONTH(A25)+1,IF(E25="iO",25,10))))</f>
        <v/>
      </c>
      <c r="G25" s="5">
        <f>IF(F25="","",DATE(YEAR(F25),MONTH(F25)+1,IF(E25="iO",12,5)))</f>
        <v/>
      </c>
      <c r="H25" s="6" t="n"/>
      <c r="I25" s="6" t="n"/>
      <c r="J25" s="7">
        <f>IF(C25="","",IF(D25="Dólares",C25*Segmentos!$B$4,C25))</f>
        <v/>
      </c>
    </row>
    <row r="26">
      <c r="A26" s="5" t="n"/>
      <c r="B26" s="6" t="n"/>
      <c r="C26" s="7" t="n"/>
      <c r="D26" s="6" t="n"/>
      <c r="E26" s="6" t="n"/>
      <c r="F26" s="5">
        <f>IF(A26="","",IF(DAY(A26)&lt;=IF(E26="iO",25,10),DATE(YEAR(A26),MONTH(A26),IF(E26="iO",25,10)),DATE(YEAR(A26),MONTH(A26)+1,IF(E26="iO",25,10))))</f>
        <v/>
      </c>
      <c r="G26" s="5">
        <f>IF(F26="","",DATE(YEAR(F26),MONTH(F26)+1,IF(E26="iO",12,5)))</f>
        <v/>
      </c>
      <c r="H26" s="6" t="n"/>
      <c r="I26" s="6" t="n"/>
      <c r="J26" s="7">
        <f>IF(C26="","",IF(D26="Dólares",C26*Segmentos!$B$4,C26))</f>
        <v/>
      </c>
    </row>
    <row r="27">
      <c r="A27" s="5" t="n"/>
      <c r="B27" s="6" t="n"/>
      <c r="C27" s="7" t="n"/>
      <c r="D27" s="6" t="n"/>
      <c r="E27" s="6" t="n"/>
      <c r="F27" s="5">
        <f>IF(A27="","",IF(DAY(A27)&lt;=IF(E27="iO",25,10),DATE(YEAR(A27),MONTH(A27),IF(E27="iO",25,10)),DATE(YEAR(A27),MONTH(A27)+1,IF(E27="iO",25,10))))</f>
        <v/>
      </c>
      <c r="G27" s="5">
        <f>IF(F27="","",DATE(YEAR(F27),MONTH(F27)+1,IF(E27="iO",12,5)))</f>
        <v/>
      </c>
      <c r="H27" s="6" t="n"/>
      <c r="I27" s="6" t="n"/>
      <c r="J27" s="7">
        <f>IF(C27="","",IF(D27="Dólares",C27*Segmentos!$B$4,C27))</f>
        <v/>
      </c>
    </row>
    <row r="28">
      <c r="A28" s="5" t="n"/>
      <c r="B28" s="6" t="n"/>
      <c r="C28" s="7" t="n"/>
      <c r="D28" s="6" t="n"/>
      <c r="E28" s="6" t="n"/>
      <c r="F28" s="5">
        <f>IF(A28="","",IF(DAY(A28)&lt;=IF(E28="iO",25,10),DATE(YEAR(A28),MONTH(A28),IF(E28="iO",25,10)),DATE(YEAR(A28),MONTH(A28)+1,IF(E28="iO",25,10))))</f>
        <v/>
      </c>
      <c r="G28" s="5">
        <f>IF(F28="","",DATE(YEAR(F28),MONTH(F28)+1,IF(E28="iO",12,5)))</f>
        <v/>
      </c>
      <c r="H28" s="6" t="n"/>
      <c r="I28" s="6" t="n"/>
      <c r="J28" s="7">
        <f>IF(C28="","",IF(D28="Dólares",C28*Segmentos!$B$4,C28))</f>
        <v/>
      </c>
    </row>
    <row r="29">
      <c r="A29" s="5" t="n"/>
      <c r="B29" s="6" t="n"/>
      <c r="C29" s="7" t="n"/>
      <c r="D29" s="6" t="n"/>
      <c r="E29" s="6" t="n"/>
      <c r="F29" s="5">
        <f>IF(A29="","",IF(DAY(A29)&lt;=IF(E29="iO",25,10),DATE(YEAR(A29),MONTH(A29),IF(E29="iO",25,10)),DATE(YEAR(A29),MONTH(A29)+1,IF(E29="iO",25,10))))</f>
        <v/>
      </c>
      <c r="G29" s="5">
        <f>IF(F29="","",DATE(YEAR(F29),MONTH(F29)+1,IF(E29="iO",12,5)))</f>
        <v/>
      </c>
      <c r="H29" s="6" t="n"/>
      <c r="I29" s="6" t="n"/>
      <c r="J29" s="7">
        <f>IF(C29="","",IF(D29="Dólares",C29*Segmentos!$B$4,C29))</f>
        <v/>
      </c>
    </row>
    <row r="30">
      <c r="A30" s="5" t="n"/>
      <c r="B30" s="6" t="n"/>
      <c r="C30" s="7" t="n"/>
      <c r="D30" s="6" t="n"/>
      <c r="E30" s="6" t="n"/>
      <c r="F30" s="5">
        <f>IF(A30="","",IF(DAY(A30)&lt;=IF(E30="iO",25,10),DATE(YEAR(A30),MONTH(A30),IF(E30="iO",25,10)),DATE(YEAR(A30),MONTH(A30)+1,IF(E30="iO",25,10))))</f>
        <v/>
      </c>
      <c r="G30" s="5">
        <f>IF(F30="","",DATE(YEAR(F30),MONTH(F30)+1,IF(E30="iO",12,5)))</f>
        <v/>
      </c>
      <c r="H30" s="6" t="n"/>
      <c r="I30" s="6" t="n"/>
      <c r="J30" s="7">
        <f>IF(C30="","",IF(D30="Dólares",C30*Segmentos!$B$4,C30))</f>
        <v/>
      </c>
    </row>
    <row r="31">
      <c r="A31" s="5" t="n"/>
      <c r="B31" s="6" t="n"/>
      <c r="C31" s="7" t="n"/>
      <c r="D31" s="6" t="n"/>
      <c r="E31" s="6" t="n"/>
      <c r="F31" s="5">
        <f>IF(A31="","",IF(DAY(A31)&lt;=IF(E31="iO",25,10),DATE(YEAR(A31),MONTH(A31),IF(E31="iO",25,10)),DATE(YEAR(A31),MONTH(A31)+1,IF(E31="iO",25,10))))</f>
        <v/>
      </c>
      <c r="G31" s="5">
        <f>IF(F31="","",DATE(YEAR(F31),MONTH(F31)+1,IF(E31="iO",12,5)))</f>
        <v/>
      </c>
      <c r="H31" s="6" t="n"/>
      <c r="I31" s="6" t="n"/>
      <c r="J31" s="7">
        <f>IF(C31="","",IF(D31="Dólares",C31*Segmentos!$B$4,C31))</f>
        <v/>
      </c>
    </row>
    <row r="32">
      <c r="A32" s="5" t="n"/>
      <c r="B32" s="6" t="n"/>
      <c r="C32" s="7" t="n"/>
      <c r="D32" s="6" t="n"/>
      <c r="E32" s="6" t="n"/>
      <c r="F32" s="5">
        <f>IF(A32="","",IF(DAY(A32)&lt;=IF(E32="iO",25,10),DATE(YEAR(A32),MONTH(A32),IF(E32="iO",25,10)),DATE(YEAR(A32),MONTH(A32)+1,IF(E32="iO",25,10))))</f>
        <v/>
      </c>
      <c r="G32" s="5">
        <f>IF(F32="","",DATE(YEAR(F32),MONTH(F32)+1,IF(E32="iO",12,5)))</f>
        <v/>
      </c>
      <c r="H32" s="6" t="n"/>
      <c r="I32" s="6" t="n"/>
      <c r="J32" s="7">
        <f>IF(C32="","",IF(D32="Dólares",C32*Segmentos!$B$4,C32))</f>
        <v/>
      </c>
    </row>
    <row r="33">
      <c r="A33" s="5" t="n"/>
      <c r="B33" s="6" t="n"/>
      <c r="C33" s="7" t="n"/>
      <c r="D33" s="6" t="n"/>
      <c r="E33" s="6" t="n"/>
      <c r="F33" s="5">
        <f>IF(A33="","",IF(DAY(A33)&lt;=IF(E33="iO",25,10),DATE(YEAR(A33),MONTH(A33),IF(E33="iO",25,10)),DATE(YEAR(A33),MONTH(A33)+1,IF(E33="iO",25,10))))</f>
        <v/>
      </c>
      <c r="G33" s="5">
        <f>IF(F33="","",DATE(YEAR(F33),MONTH(F33)+1,IF(E33="iO",12,5)))</f>
        <v/>
      </c>
      <c r="H33" s="6" t="n"/>
      <c r="I33" s="6" t="n"/>
      <c r="J33" s="7">
        <f>IF(C33="","",IF(D33="Dólares",C33*Segmentos!$B$4,C33))</f>
        <v/>
      </c>
    </row>
    <row r="34">
      <c r="A34" s="5" t="n"/>
      <c r="B34" s="6" t="n"/>
      <c r="C34" s="7" t="n"/>
      <c r="D34" s="6" t="n"/>
      <c r="E34" s="6" t="n"/>
      <c r="F34" s="5">
        <f>IF(A34="","",IF(DAY(A34)&lt;=IF(E34="iO",25,10),DATE(YEAR(A34),MONTH(A34),IF(E34="iO",25,10)),DATE(YEAR(A34),MONTH(A34)+1,IF(E34="iO",25,10))))</f>
        <v/>
      </c>
      <c r="G34" s="5">
        <f>IF(F34="","",DATE(YEAR(F34),MONTH(F34)+1,IF(E34="iO",12,5)))</f>
        <v/>
      </c>
      <c r="H34" s="6" t="n"/>
      <c r="I34" s="6" t="n"/>
      <c r="J34" s="7">
        <f>IF(C34="","",IF(D34="Dólares",C34*Segmentos!$B$4,C34))</f>
        <v/>
      </c>
    </row>
    <row r="35">
      <c r="A35" s="5" t="n"/>
      <c r="B35" s="6" t="n"/>
      <c r="C35" s="7" t="n"/>
      <c r="D35" s="6" t="n"/>
      <c r="E35" s="6" t="n"/>
      <c r="F35" s="5">
        <f>IF(A35="","",IF(DAY(A35)&lt;=IF(E35="iO",25,10),DATE(YEAR(A35),MONTH(A35),IF(E35="iO",25,10)),DATE(YEAR(A35),MONTH(A35)+1,IF(E35="iO",25,10))))</f>
        <v/>
      </c>
      <c r="G35" s="5">
        <f>IF(F35="","",DATE(YEAR(F35),MONTH(F35)+1,IF(E35="iO",12,5)))</f>
        <v/>
      </c>
      <c r="H35" s="6" t="n"/>
      <c r="I35" s="6" t="n"/>
      <c r="J35" s="7">
        <f>IF(C35="","",IF(D35="Dólares",C35*Segmentos!$B$4,C35))</f>
        <v/>
      </c>
    </row>
    <row r="36">
      <c r="A36" s="5" t="n"/>
      <c r="B36" s="6" t="n"/>
      <c r="C36" s="7" t="n"/>
      <c r="D36" s="6" t="n"/>
      <c r="E36" s="6" t="n"/>
      <c r="F36" s="5">
        <f>IF(A36="","",IF(DAY(A36)&lt;=IF(E36="iO",25,10),DATE(YEAR(A36),MONTH(A36),IF(E36="iO",25,10)),DATE(YEAR(A36),MONTH(A36)+1,IF(E36="iO",25,10))))</f>
        <v/>
      </c>
      <c r="G36" s="5">
        <f>IF(F36="","",DATE(YEAR(F36),MONTH(F36)+1,IF(E36="iO",12,5)))</f>
        <v/>
      </c>
      <c r="H36" s="6" t="n"/>
      <c r="I36" s="6" t="n"/>
      <c r="J36" s="7">
        <f>IF(C36="","",IF(D36="Dólares",C36*Segmentos!$B$4,C36))</f>
        <v/>
      </c>
    </row>
    <row r="37">
      <c r="A37" s="5" t="n"/>
      <c r="B37" s="6" t="n"/>
      <c r="C37" s="7" t="n"/>
      <c r="D37" s="6" t="n"/>
      <c r="E37" s="6" t="n"/>
      <c r="F37" s="5">
        <f>IF(A37="","",IF(DAY(A37)&lt;=IF(E37="iO",25,10),DATE(YEAR(A37),MONTH(A37),IF(E37="iO",25,10)),DATE(YEAR(A37),MONTH(A37)+1,IF(E37="iO",25,10))))</f>
        <v/>
      </c>
      <c r="G37" s="5">
        <f>IF(F37="","",DATE(YEAR(F37),MONTH(F37)+1,IF(E37="iO",12,5)))</f>
        <v/>
      </c>
      <c r="H37" s="6" t="n"/>
      <c r="I37" s="6" t="n"/>
      <c r="J37" s="7">
        <f>IF(C37="","",IF(D37="Dólares",C37*Segmentos!$B$4,C37))</f>
        <v/>
      </c>
    </row>
    <row r="38">
      <c r="A38" s="5" t="n"/>
      <c r="B38" s="6" t="n"/>
      <c r="C38" s="7" t="n"/>
      <c r="D38" s="6" t="n"/>
      <c r="E38" s="6" t="n"/>
      <c r="F38" s="5">
        <f>IF(A38="","",IF(DAY(A38)&lt;=IF(E38="iO",25,10),DATE(YEAR(A38),MONTH(A38),IF(E38="iO",25,10)),DATE(YEAR(A38),MONTH(A38)+1,IF(E38="iO",25,10))))</f>
        <v/>
      </c>
      <c r="G38" s="5">
        <f>IF(F38="","",DATE(YEAR(F38),MONTH(F38)+1,IF(E38="iO",12,5)))</f>
        <v/>
      </c>
      <c r="H38" s="6" t="n"/>
      <c r="I38" s="6" t="n"/>
      <c r="J38" s="7">
        <f>IF(C38="","",IF(D38="Dólares",C38*Segmentos!$B$4,C38))</f>
        <v/>
      </c>
    </row>
    <row r="39">
      <c r="A39" s="5" t="n"/>
      <c r="B39" s="6" t="n"/>
      <c r="C39" s="7" t="n"/>
      <c r="D39" s="6" t="n"/>
      <c r="E39" s="6" t="n"/>
      <c r="F39" s="5">
        <f>IF(A39="","",IF(DAY(A39)&lt;=IF(E39="iO",25,10),DATE(YEAR(A39),MONTH(A39),IF(E39="iO",25,10)),DATE(YEAR(A39),MONTH(A39)+1,IF(E39="iO",25,10))))</f>
        <v/>
      </c>
      <c r="G39" s="5">
        <f>IF(F39="","",DATE(YEAR(F39),MONTH(F39)+1,IF(E39="iO",12,5)))</f>
        <v/>
      </c>
      <c r="H39" s="6" t="n"/>
      <c r="I39" s="6" t="n"/>
      <c r="J39" s="7">
        <f>IF(C39="","",IF(D39="Dólares",C39*Segmentos!$B$4,C39))</f>
        <v/>
      </c>
    </row>
    <row r="40">
      <c r="A40" s="5" t="n"/>
      <c r="B40" s="6" t="n"/>
      <c r="C40" s="7" t="n"/>
      <c r="D40" s="6" t="n"/>
      <c r="E40" s="6" t="n"/>
      <c r="F40" s="5">
        <f>IF(A40="","",IF(DAY(A40)&lt;=IF(E40="iO",25,10),DATE(YEAR(A40),MONTH(A40),IF(E40="iO",25,10)),DATE(YEAR(A40),MONTH(A40)+1,IF(E40="iO",25,10))))</f>
        <v/>
      </c>
      <c r="G40" s="5">
        <f>IF(F40="","",DATE(YEAR(F40),MONTH(F40)+1,IF(E40="iO",12,5)))</f>
        <v/>
      </c>
      <c r="H40" s="6" t="n"/>
      <c r="I40" s="6" t="n"/>
      <c r="J40" s="7">
        <f>IF(C40="","",IF(D40="Dólares",C40*Segmentos!$B$4,C40))</f>
        <v/>
      </c>
    </row>
    <row r="41">
      <c r="A41" s="5" t="n"/>
      <c r="B41" s="6" t="n"/>
      <c r="C41" s="7" t="n"/>
      <c r="D41" s="6" t="n"/>
      <c r="E41" s="6" t="n"/>
      <c r="F41" s="5">
        <f>IF(A41="","",IF(DAY(A41)&lt;=IF(E41="iO",25,10),DATE(YEAR(A41),MONTH(A41),IF(E41="iO",25,10)),DATE(YEAR(A41),MONTH(A41)+1,IF(E41="iO",25,10))))</f>
        <v/>
      </c>
      <c r="G41" s="5">
        <f>IF(F41="","",DATE(YEAR(F41),MONTH(F41)+1,IF(E41="iO",12,5)))</f>
        <v/>
      </c>
      <c r="H41" s="6" t="n"/>
      <c r="I41" s="6" t="n"/>
      <c r="J41" s="7">
        <f>IF(C41="","",IF(D41="Dólares",C41*Segmentos!$B$4,C41))</f>
        <v/>
      </c>
    </row>
    <row r="42">
      <c r="A42" s="5" t="n"/>
      <c r="B42" s="6" t="n"/>
      <c r="C42" s="7" t="n"/>
      <c r="D42" s="6" t="n"/>
      <c r="E42" s="6" t="n"/>
      <c r="F42" s="5">
        <f>IF(A42="","",IF(DAY(A42)&lt;=IF(E42="iO",25,10),DATE(YEAR(A42),MONTH(A42),IF(E42="iO",25,10)),DATE(YEAR(A42),MONTH(A42)+1,IF(E42="iO",25,10))))</f>
        <v/>
      </c>
      <c r="G42" s="5">
        <f>IF(F42="","",DATE(YEAR(F42),MONTH(F42)+1,IF(E42="iO",12,5)))</f>
        <v/>
      </c>
      <c r="H42" s="6" t="n"/>
      <c r="I42" s="6" t="n"/>
      <c r="J42" s="7">
        <f>IF(C42="","",IF(D42="Dólares",C42*Segmentos!$B$4,C42))</f>
        <v/>
      </c>
    </row>
    <row r="43">
      <c r="A43" s="5" t="n"/>
      <c r="B43" s="6" t="n"/>
      <c r="C43" s="7" t="n"/>
      <c r="D43" s="6" t="n"/>
      <c r="E43" s="6" t="n"/>
      <c r="F43" s="5">
        <f>IF(A43="","",IF(DAY(A43)&lt;=IF(E43="iO",25,10),DATE(YEAR(A43),MONTH(A43),IF(E43="iO",25,10)),DATE(YEAR(A43),MONTH(A43)+1,IF(E43="iO",25,10))))</f>
        <v/>
      </c>
      <c r="G43" s="5">
        <f>IF(F43="","",DATE(YEAR(F43),MONTH(F43)+1,IF(E43="iO",12,5)))</f>
        <v/>
      </c>
      <c r="H43" s="6" t="n"/>
      <c r="I43" s="6" t="n"/>
      <c r="J43" s="7">
        <f>IF(C43="","",IF(D43="Dólares",C43*Segmentos!$B$4,C43))</f>
        <v/>
      </c>
    </row>
    <row r="44">
      <c r="A44" s="5" t="n"/>
      <c r="B44" s="6" t="n"/>
      <c r="C44" s="7" t="n"/>
      <c r="D44" s="6" t="n"/>
      <c r="E44" s="6" t="n"/>
      <c r="F44" s="5">
        <f>IF(A44="","",IF(DAY(A44)&lt;=IF(E44="iO",25,10),DATE(YEAR(A44),MONTH(A44),IF(E44="iO",25,10)),DATE(YEAR(A44),MONTH(A44)+1,IF(E44="iO",25,10))))</f>
        <v/>
      </c>
      <c r="G44" s="5">
        <f>IF(F44="","",DATE(YEAR(F44),MONTH(F44)+1,IF(E44="iO",12,5)))</f>
        <v/>
      </c>
      <c r="H44" s="6" t="n"/>
      <c r="I44" s="6" t="n"/>
      <c r="J44" s="7">
        <f>IF(C44="","",IF(D44="Dólares",C44*Segmentos!$B$4,C44))</f>
        <v/>
      </c>
    </row>
    <row r="45">
      <c r="A45" s="5" t="n"/>
      <c r="B45" s="6" t="n"/>
      <c r="C45" s="7" t="n"/>
      <c r="D45" s="6" t="n"/>
      <c r="E45" s="6" t="n"/>
      <c r="F45" s="5">
        <f>IF(A45="","",IF(DAY(A45)&lt;=IF(E45="iO",25,10),DATE(YEAR(A45),MONTH(A45),IF(E45="iO",25,10)),DATE(YEAR(A45),MONTH(A45)+1,IF(E45="iO",25,10))))</f>
        <v/>
      </c>
      <c r="G45" s="5">
        <f>IF(F45="","",DATE(YEAR(F45),MONTH(F45)+1,IF(E45="iO",12,5)))</f>
        <v/>
      </c>
      <c r="H45" s="6" t="n"/>
      <c r="I45" s="6" t="n"/>
      <c r="J45" s="7">
        <f>IF(C45="","",IF(D45="Dólares",C45*Segmentos!$B$4,C45))</f>
        <v/>
      </c>
    </row>
    <row r="46">
      <c r="A46" s="5" t="n"/>
      <c r="B46" s="6" t="n"/>
      <c r="C46" s="7" t="n"/>
      <c r="D46" s="6" t="n"/>
      <c r="E46" s="6" t="n"/>
      <c r="F46" s="5">
        <f>IF(A46="","",IF(DAY(A46)&lt;=IF(E46="iO",25,10),DATE(YEAR(A46),MONTH(A46),IF(E46="iO",25,10)),DATE(YEAR(A46),MONTH(A46)+1,IF(E46="iO",25,10))))</f>
        <v/>
      </c>
      <c r="G46" s="5">
        <f>IF(F46="","",DATE(YEAR(F46),MONTH(F46)+1,IF(E46="iO",12,5)))</f>
        <v/>
      </c>
      <c r="H46" s="6" t="n"/>
      <c r="I46" s="6" t="n"/>
      <c r="J46" s="7">
        <f>IF(C46="","",IF(D46="Dólares",C46*Segmentos!$B$4,C46))</f>
        <v/>
      </c>
    </row>
    <row r="47">
      <c r="A47" s="5" t="n"/>
      <c r="B47" s="6" t="n"/>
      <c r="C47" s="7" t="n"/>
      <c r="D47" s="6" t="n"/>
      <c r="E47" s="6" t="n"/>
      <c r="F47" s="5">
        <f>IF(A47="","",IF(DAY(A47)&lt;=IF(E47="iO",25,10),DATE(YEAR(A47),MONTH(A47),IF(E47="iO",25,10)),DATE(YEAR(A47),MONTH(A47)+1,IF(E47="iO",25,10))))</f>
        <v/>
      </c>
      <c r="G47" s="5">
        <f>IF(F47="","",DATE(YEAR(F47),MONTH(F47)+1,IF(E47="iO",12,5)))</f>
        <v/>
      </c>
      <c r="H47" s="6" t="n"/>
      <c r="I47" s="6" t="n"/>
      <c r="J47" s="7">
        <f>IF(C47="","",IF(D47="Dólares",C47*Segmentos!$B$4,C47))</f>
        <v/>
      </c>
    </row>
    <row r="48">
      <c r="A48" s="5" t="n"/>
      <c r="B48" s="6" t="n"/>
      <c r="C48" s="7" t="n"/>
      <c r="D48" s="6" t="n"/>
      <c r="E48" s="6" t="n"/>
      <c r="F48" s="5">
        <f>IF(A48="","",IF(DAY(A48)&lt;=IF(E48="iO",25,10),DATE(YEAR(A48),MONTH(A48),IF(E48="iO",25,10)),DATE(YEAR(A48),MONTH(A48)+1,IF(E48="iO",25,10))))</f>
        <v/>
      </c>
      <c r="G48" s="5">
        <f>IF(F48="","",DATE(YEAR(F48),MONTH(F48)+1,IF(E48="iO",12,5)))</f>
        <v/>
      </c>
      <c r="H48" s="6" t="n"/>
      <c r="I48" s="6" t="n"/>
      <c r="J48" s="7">
        <f>IF(C48="","",IF(D48="Dólares",C48*Segmentos!$B$4,C48))</f>
        <v/>
      </c>
    </row>
    <row r="49">
      <c r="A49" s="5" t="n"/>
      <c r="B49" s="6" t="n"/>
      <c r="C49" s="7" t="n"/>
      <c r="D49" s="6" t="n"/>
      <c r="E49" s="6" t="n"/>
      <c r="F49" s="5">
        <f>IF(A49="","",IF(DAY(A49)&lt;=IF(E49="iO",25,10),DATE(YEAR(A49),MONTH(A49),IF(E49="iO",25,10)),DATE(YEAR(A49),MONTH(A49)+1,IF(E49="iO",25,10))))</f>
        <v/>
      </c>
      <c r="G49" s="5">
        <f>IF(F49="","",DATE(YEAR(F49),MONTH(F49)+1,IF(E49="iO",12,5)))</f>
        <v/>
      </c>
      <c r="H49" s="6" t="n"/>
      <c r="I49" s="6" t="n"/>
      <c r="J49" s="7">
        <f>IF(C49="","",IF(D49="Dólares",C49*Segmentos!$B$4,C49))</f>
        <v/>
      </c>
    </row>
    <row r="50">
      <c r="A50" s="5" t="n"/>
      <c r="B50" s="6" t="n"/>
      <c r="C50" s="7" t="n"/>
      <c r="D50" s="6" t="n"/>
      <c r="E50" s="6" t="n"/>
      <c r="F50" s="5">
        <f>IF(A50="","",IF(DAY(A50)&lt;=IF(E50="iO",25,10),DATE(YEAR(A50),MONTH(A50),IF(E50="iO",25,10)),DATE(YEAR(A50),MONTH(A50)+1,IF(E50="iO",25,10))))</f>
        <v/>
      </c>
      <c r="G50" s="5">
        <f>IF(F50="","",DATE(YEAR(F50),MONTH(F50)+1,IF(E50="iO",12,5)))</f>
        <v/>
      </c>
      <c r="H50" s="6" t="n"/>
      <c r="I50" s="6" t="n"/>
      <c r="J50" s="7">
        <f>IF(C50="","",IF(D50="Dólares",C50*Segmentos!$B$4,C50))</f>
        <v/>
      </c>
    </row>
    <row r="51">
      <c r="A51" s="5" t="n"/>
      <c r="B51" s="6" t="n"/>
      <c r="C51" s="7" t="n"/>
      <c r="D51" s="6" t="n"/>
      <c r="E51" s="6" t="n"/>
      <c r="F51" s="5">
        <f>IF(A51="","",IF(DAY(A51)&lt;=IF(E51="iO",25,10),DATE(YEAR(A51),MONTH(A51),IF(E51="iO",25,10)),DATE(YEAR(A51),MONTH(A51)+1,IF(E51="iO",25,10))))</f>
        <v/>
      </c>
      <c r="G51" s="5">
        <f>IF(F51="","",DATE(YEAR(F51),MONTH(F51)+1,IF(E51="iO",12,5)))</f>
        <v/>
      </c>
      <c r="H51" s="6" t="n"/>
      <c r="I51" s="6" t="n"/>
      <c r="J51" s="7">
        <f>IF(C51="","",IF(D51="Dólares",C51*Segmentos!$B$4,C51))</f>
        <v/>
      </c>
    </row>
    <row r="52">
      <c r="A52" s="5" t="n"/>
      <c r="B52" s="6" t="n"/>
      <c r="C52" s="7" t="n"/>
      <c r="D52" s="6" t="n"/>
      <c r="E52" s="6" t="n"/>
      <c r="F52" s="5">
        <f>IF(A52="","",IF(DAY(A52)&lt;=IF(E52="iO",25,10),DATE(YEAR(A52),MONTH(A52),IF(E52="iO",25,10)),DATE(YEAR(A52),MONTH(A52)+1,IF(E52="iO",25,10))))</f>
        <v/>
      </c>
      <c r="G52" s="5">
        <f>IF(F52="","",DATE(YEAR(F52),MONTH(F52)+1,IF(E52="iO",12,5)))</f>
        <v/>
      </c>
      <c r="H52" s="6" t="n"/>
      <c r="I52" s="6" t="n"/>
      <c r="J52" s="7">
        <f>IF(C52="","",IF(D52="Dólares",C52*Segmentos!$B$4,C52))</f>
        <v/>
      </c>
    </row>
    <row r="53">
      <c r="A53" s="5" t="n"/>
      <c r="B53" s="6" t="n"/>
      <c r="C53" s="7" t="n"/>
      <c r="D53" s="6" t="n"/>
      <c r="E53" s="6" t="n"/>
      <c r="F53" s="5">
        <f>IF(A53="","",IF(DAY(A53)&lt;=IF(E53="iO",25,10),DATE(YEAR(A53),MONTH(A53),IF(E53="iO",25,10)),DATE(YEAR(A53),MONTH(A53)+1,IF(E53="iO",25,10))))</f>
        <v/>
      </c>
      <c r="G53" s="5">
        <f>IF(F53="","",DATE(YEAR(F53),MONTH(F53)+1,IF(E53="iO",12,5)))</f>
        <v/>
      </c>
      <c r="H53" s="6" t="n"/>
      <c r="I53" s="6" t="n"/>
      <c r="J53" s="7">
        <f>IF(C53="","",IF(D53="Dólares",C53*Segmentos!$B$4,C53))</f>
        <v/>
      </c>
    </row>
    <row r="54">
      <c r="A54" s="5" t="n"/>
      <c r="B54" s="6" t="n"/>
      <c r="C54" s="7" t="n"/>
      <c r="D54" s="6" t="n"/>
      <c r="E54" s="6" t="n"/>
      <c r="F54" s="5">
        <f>IF(A54="","",IF(DAY(A54)&lt;=IF(E54="iO",25,10),DATE(YEAR(A54),MONTH(A54),IF(E54="iO",25,10)),DATE(YEAR(A54),MONTH(A54)+1,IF(E54="iO",25,10))))</f>
        <v/>
      </c>
      <c r="G54" s="5">
        <f>IF(F54="","",DATE(YEAR(F54),MONTH(F54)+1,IF(E54="iO",12,5)))</f>
        <v/>
      </c>
      <c r="H54" s="6" t="n"/>
      <c r="I54" s="6" t="n"/>
      <c r="J54" s="7">
        <f>IF(C54="","",IF(D54="Dólares",C54*Segmentos!$B$4,C54))</f>
        <v/>
      </c>
    </row>
    <row r="55">
      <c r="A55" s="5" t="n"/>
      <c r="B55" s="6" t="n"/>
      <c r="C55" s="7" t="n"/>
      <c r="D55" s="6" t="n"/>
      <c r="E55" s="6" t="n"/>
      <c r="F55" s="5">
        <f>IF(A55="","",IF(DAY(A55)&lt;=IF(E55="iO",25,10),DATE(YEAR(A55),MONTH(A55),IF(E55="iO",25,10)),DATE(YEAR(A55),MONTH(A55)+1,IF(E55="iO",25,10))))</f>
        <v/>
      </c>
      <c r="G55" s="5">
        <f>IF(F55="","",DATE(YEAR(F55),MONTH(F55)+1,IF(E55="iO",12,5)))</f>
        <v/>
      </c>
      <c r="H55" s="6" t="n"/>
      <c r="I55" s="6" t="n"/>
      <c r="J55" s="7">
        <f>IF(C55="","",IF(D55="Dólares",C55*Segmentos!$B$4,C55))</f>
        <v/>
      </c>
    </row>
    <row r="56">
      <c r="A56" s="5" t="n"/>
      <c r="B56" s="6" t="n"/>
      <c r="C56" s="7" t="n"/>
      <c r="D56" s="6" t="n"/>
      <c r="E56" s="6" t="n"/>
      <c r="F56" s="5">
        <f>IF(A56="","",IF(DAY(A56)&lt;=IF(E56="iO",25,10),DATE(YEAR(A56),MONTH(A56),IF(E56="iO",25,10)),DATE(YEAR(A56),MONTH(A56)+1,IF(E56="iO",25,10))))</f>
        <v/>
      </c>
      <c r="G56" s="5">
        <f>IF(F56="","",DATE(YEAR(F56),MONTH(F56)+1,IF(E56="iO",12,5)))</f>
        <v/>
      </c>
      <c r="H56" s="6" t="n"/>
      <c r="I56" s="6" t="n"/>
      <c r="J56" s="7">
        <f>IF(C56="","",IF(D56="Dólares",C56*Segmentos!$B$4,C56))</f>
        <v/>
      </c>
    </row>
    <row r="57">
      <c r="A57" s="5" t="n"/>
      <c r="B57" s="6" t="n"/>
      <c r="C57" s="7" t="n"/>
      <c r="D57" s="6" t="n"/>
      <c r="E57" s="6" t="n"/>
      <c r="F57" s="5">
        <f>IF(A57="","",IF(DAY(A57)&lt;=IF(E57="iO",25,10),DATE(YEAR(A57),MONTH(A57),IF(E57="iO",25,10)),DATE(YEAR(A57),MONTH(A57)+1,IF(E57="iO",25,10))))</f>
        <v/>
      </c>
      <c r="G57" s="5">
        <f>IF(F57="","",DATE(YEAR(F57),MONTH(F57)+1,IF(E57="iO",12,5)))</f>
        <v/>
      </c>
      <c r="H57" s="6" t="n"/>
      <c r="I57" s="6" t="n"/>
      <c r="J57" s="7">
        <f>IF(C57="","",IF(D57="Dólares",C57*Segmentos!$B$4,C57))</f>
        <v/>
      </c>
    </row>
    <row r="58">
      <c r="A58" s="5" t="n"/>
      <c r="B58" s="6" t="n"/>
      <c r="C58" s="7" t="n"/>
      <c r="D58" s="6" t="n"/>
      <c r="E58" s="6" t="n"/>
      <c r="F58" s="5">
        <f>IF(A58="","",IF(DAY(A58)&lt;=IF(E58="iO",25,10),DATE(YEAR(A58),MONTH(A58),IF(E58="iO",25,10)),DATE(YEAR(A58),MONTH(A58)+1,IF(E58="iO",25,10))))</f>
        <v/>
      </c>
      <c r="G58" s="5">
        <f>IF(F58="","",DATE(YEAR(F58),MONTH(F58)+1,IF(E58="iO",12,5)))</f>
        <v/>
      </c>
      <c r="H58" s="6" t="n"/>
      <c r="I58" s="6" t="n"/>
      <c r="J58" s="7">
        <f>IF(C58="","",IF(D58="Dólares",C58*Segmentos!$B$4,C58))</f>
        <v/>
      </c>
    </row>
    <row r="59">
      <c r="A59" s="5" t="n"/>
      <c r="B59" s="6" t="n"/>
      <c r="C59" s="7" t="n"/>
      <c r="D59" s="6" t="n"/>
      <c r="E59" s="6" t="n"/>
      <c r="F59" s="5">
        <f>IF(A59="","",IF(DAY(A59)&lt;=IF(E59="iO",25,10),DATE(YEAR(A59),MONTH(A59),IF(E59="iO",25,10)),DATE(YEAR(A59),MONTH(A59)+1,IF(E59="iO",25,10))))</f>
        <v/>
      </c>
      <c r="G59" s="5">
        <f>IF(F59="","",DATE(YEAR(F59),MONTH(F59)+1,IF(E59="iO",12,5)))</f>
        <v/>
      </c>
      <c r="H59" s="6" t="n"/>
      <c r="I59" s="6" t="n"/>
      <c r="J59" s="7">
        <f>IF(C59="","",IF(D59="Dólares",C59*Segmentos!$B$4,C59))</f>
        <v/>
      </c>
    </row>
    <row r="60">
      <c r="A60" s="5" t="n"/>
      <c r="B60" s="6" t="n"/>
      <c r="C60" s="7" t="n"/>
      <c r="D60" s="6" t="n"/>
      <c r="E60" s="6" t="n"/>
      <c r="F60" s="5">
        <f>IF(A60="","",IF(DAY(A60)&lt;=IF(E60="iO",25,10),DATE(YEAR(A60),MONTH(A60),IF(E60="iO",25,10)),DATE(YEAR(A60),MONTH(A60)+1,IF(E60="iO",25,10))))</f>
        <v/>
      </c>
      <c r="G60" s="5">
        <f>IF(F60="","",DATE(YEAR(F60),MONTH(F60)+1,IF(E60="iO",12,5)))</f>
        <v/>
      </c>
      <c r="H60" s="6" t="n"/>
      <c r="I60" s="6" t="n"/>
      <c r="J60" s="7">
        <f>IF(C60="","",IF(D60="Dólares",C60*Segmentos!$B$4,C60))</f>
        <v/>
      </c>
    </row>
    <row r="61">
      <c r="A61" s="5" t="n"/>
      <c r="B61" s="6" t="n"/>
      <c r="C61" s="7" t="n"/>
      <c r="D61" s="6" t="n"/>
      <c r="E61" s="6" t="n"/>
      <c r="F61" s="5">
        <f>IF(A61="","",IF(DAY(A61)&lt;=IF(E61="iO",25,10),DATE(YEAR(A61),MONTH(A61),IF(E61="iO",25,10)),DATE(YEAR(A61),MONTH(A61)+1,IF(E61="iO",25,10))))</f>
        <v/>
      </c>
      <c r="G61" s="5">
        <f>IF(F61="","",DATE(YEAR(F61),MONTH(F61)+1,IF(E61="iO",12,5)))</f>
        <v/>
      </c>
      <c r="H61" s="6" t="n"/>
      <c r="I61" s="6" t="n"/>
      <c r="J61" s="7">
        <f>IF(C61="","",IF(D61="Dólares",C61*Segmentos!$B$4,C61))</f>
        <v/>
      </c>
    </row>
    <row r="62">
      <c r="A62" s="5" t="n"/>
      <c r="B62" s="6" t="n"/>
      <c r="C62" s="7" t="n"/>
      <c r="D62" s="6" t="n"/>
      <c r="E62" s="6" t="n"/>
      <c r="F62" s="5">
        <f>IF(A62="","",IF(DAY(A62)&lt;=IF(E62="iO",25,10),DATE(YEAR(A62),MONTH(A62),IF(E62="iO",25,10)),DATE(YEAR(A62),MONTH(A62)+1,IF(E62="iO",25,10))))</f>
        <v/>
      </c>
      <c r="G62" s="5">
        <f>IF(F62="","",DATE(YEAR(F62),MONTH(F62)+1,IF(E62="iO",12,5)))</f>
        <v/>
      </c>
      <c r="H62" s="6" t="n"/>
      <c r="I62" s="6" t="n"/>
      <c r="J62" s="7">
        <f>IF(C62="","",IF(D62="Dólares",C62*Segmentos!$B$4,C62))</f>
        <v/>
      </c>
    </row>
    <row r="63">
      <c r="A63" s="5" t="n"/>
      <c r="B63" s="6" t="n"/>
      <c r="C63" s="7" t="n"/>
      <c r="D63" s="6" t="n"/>
      <c r="E63" s="6" t="n"/>
      <c r="F63" s="5">
        <f>IF(A63="","",IF(DAY(A63)&lt;=IF(E63="iO",25,10),DATE(YEAR(A63),MONTH(A63),IF(E63="iO",25,10)),DATE(YEAR(A63),MONTH(A63)+1,IF(E63="iO",25,10))))</f>
        <v/>
      </c>
      <c r="G63" s="5">
        <f>IF(F63="","",DATE(YEAR(F63),MONTH(F63)+1,IF(E63="iO",12,5)))</f>
        <v/>
      </c>
      <c r="H63" s="6" t="n"/>
      <c r="I63" s="6" t="n"/>
      <c r="J63" s="7">
        <f>IF(C63="","",IF(D63="Dólares",C63*Segmentos!$B$4,C63))</f>
        <v/>
      </c>
    </row>
    <row r="64">
      <c r="A64" s="5" t="n"/>
      <c r="B64" s="6" t="n"/>
      <c r="C64" s="7" t="n"/>
      <c r="D64" s="6" t="n"/>
      <c r="E64" s="6" t="n"/>
      <c r="F64" s="5">
        <f>IF(A64="","",IF(DAY(A64)&lt;=IF(E64="iO",25,10),DATE(YEAR(A64),MONTH(A64),IF(E64="iO",25,10)),DATE(YEAR(A64),MONTH(A64)+1,IF(E64="iO",25,10))))</f>
        <v/>
      </c>
      <c r="G64" s="5">
        <f>IF(F64="","",DATE(YEAR(F64),MONTH(F64)+1,IF(E64="iO",12,5)))</f>
        <v/>
      </c>
      <c r="H64" s="6" t="n"/>
      <c r="I64" s="6" t="n"/>
      <c r="J64" s="7">
        <f>IF(C64="","",IF(D64="Dólares",C64*Segmentos!$B$4,C64))</f>
        <v/>
      </c>
    </row>
    <row r="65">
      <c r="A65" s="5" t="n"/>
      <c r="B65" s="6" t="n"/>
      <c r="C65" s="7" t="n"/>
      <c r="D65" s="6" t="n"/>
      <c r="E65" s="6" t="n"/>
      <c r="F65" s="5">
        <f>IF(A65="","",IF(DAY(A65)&lt;=IF(E65="iO",25,10),DATE(YEAR(A65),MONTH(A65),IF(E65="iO",25,10)),DATE(YEAR(A65),MONTH(A65)+1,IF(E65="iO",25,10))))</f>
        <v/>
      </c>
      <c r="G65" s="5">
        <f>IF(F65="","",DATE(YEAR(F65),MONTH(F65)+1,IF(E65="iO",12,5)))</f>
        <v/>
      </c>
      <c r="H65" s="6" t="n"/>
      <c r="I65" s="6" t="n"/>
      <c r="J65" s="7">
        <f>IF(C65="","",IF(D65="Dólares",C65*Segmentos!$B$4,C65))</f>
        <v/>
      </c>
    </row>
    <row r="66">
      <c r="A66" s="5" t="n"/>
      <c r="B66" s="6" t="n"/>
      <c r="C66" s="7" t="n"/>
      <c r="D66" s="6" t="n"/>
      <c r="E66" s="6" t="n"/>
      <c r="F66" s="5">
        <f>IF(A66="","",IF(DAY(A66)&lt;=IF(E66="iO",25,10),DATE(YEAR(A66),MONTH(A66),IF(E66="iO",25,10)),DATE(YEAR(A66),MONTH(A66)+1,IF(E66="iO",25,10))))</f>
        <v/>
      </c>
      <c r="G66" s="5">
        <f>IF(F66="","",DATE(YEAR(F66),MONTH(F66)+1,IF(E66="iO",12,5)))</f>
        <v/>
      </c>
      <c r="H66" s="6" t="n"/>
      <c r="I66" s="6" t="n"/>
      <c r="J66" s="7">
        <f>IF(C66="","",IF(D66="Dólares",C66*Segmentos!$B$4,C66))</f>
        <v/>
      </c>
    </row>
    <row r="67">
      <c r="A67" s="5" t="n"/>
      <c r="B67" s="6" t="n"/>
      <c r="C67" s="7" t="n"/>
      <c r="D67" s="6" t="n"/>
      <c r="E67" s="6" t="n"/>
      <c r="F67" s="5">
        <f>IF(A67="","",IF(DAY(A67)&lt;=IF(E67="iO",25,10),DATE(YEAR(A67),MONTH(A67),IF(E67="iO",25,10)),DATE(YEAR(A67),MONTH(A67)+1,IF(E67="iO",25,10))))</f>
        <v/>
      </c>
      <c r="G67" s="5">
        <f>IF(F67="","",DATE(YEAR(F67),MONTH(F67)+1,IF(E67="iO",12,5)))</f>
        <v/>
      </c>
      <c r="H67" s="6" t="n"/>
      <c r="I67" s="6" t="n"/>
      <c r="J67" s="7">
        <f>IF(C67="","",IF(D67="Dólares",C67*Segmentos!$B$4,C67))</f>
        <v/>
      </c>
    </row>
    <row r="68">
      <c r="A68" s="5" t="n"/>
      <c r="B68" s="6" t="n"/>
      <c r="C68" s="7" t="n"/>
      <c r="D68" s="6" t="n"/>
      <c r="E68" s="6" t="n"/>
      <c r="F68" s="5">
        <f>IF(A68="","",IF(DAY(A68)&lt;=IF(E68="iO",25,10),DATE(YEAR(A68),MONTH(A68),IF(E68="iO",25,10)),DATE(YEAR(A68),MONTH(A68)+1,IF(E68="iO",25,10))))</f>
        <v/>
      </c>
      <c r="G68" s="5">
        <f>IF(F68="","",DATE(YEAR(F68),MONTH(F68)+1,IF(E68="iO",12,5)))</f>
        <v/>
      </c>
      <c r="H68" s="6" t="n"/>
      <c r="I68" s="6" t="n"/>
      <c r="J68" s="7">
        <f>IF(C68="","",IF(D68="Dólares",C68*Segmentos!$B$4,C68))</f>
        <v/>
      </c>
    </row>
    <row r="69">
      <c r="A69" s="5" t="n"/>
      <c r="B69" s="6" t="n"/>
      <c r="C69" s="7" t="n"/>
      <c r="D69" s="6" t="n"/>
      <c r="E69" s="6" t="n"/>
      <c r="F69" s="5">
        <f>IF(A69="","",IF(DAY(A69)&lt;=IF(E69="iO",25,10),DATE(YEAR(A69),MONTH(A69),IF(E69="iO",25,10)),DATE(YEAR(A69),MONTH(A69)+1,IF(E69="iO",25,10))))</f>
        <v/>
      </c>
      <c r="G69" s="5">
        <f>IF(F69="","",DATE(YEAR(F69),MONTH(F69)+1,IF(E69="iO",12,5)))</f>
        <v/>
      </c>
      <c r="H69" s="6" t="n"/>
      <c r="I69" s="6" t="n"/>
      <c r="J69" s="7">
        <f>IF(C69="","",IF(D69="Dólares",C69*Segmentos!$B$4,C69))</f>
        <v/>
      </c>
    </row>
    <row r="70">
      <c r="A70" s="5" t="n"/>
      <c r="B70" s="6" t="n"/>
      <c r="C70" s="7" t="n"/>
      <c r="D70" s="6" t="n"/>
      <c r="E70" s="6" t="n"/>
      <c r="F70" s="5">
        <f>IF(A70="","",IF(DAY(A70)&lt;=IF(E70="iO",25,10),DATE(YEAR(A70),MONTH(A70),IF(E70="iO",25,10)),DATE(YEAR(A70),MONTH(A70)+1,IF(E70="iO",25,10))))</f>
        <v/>
      </c>
      <c r="G70" s="5">
        <f>IF(F70="","",DATE(YEAR(F70),MONTH(F70)+1,IF(E70="iO",12,5)))</f>
        <v/>
      </c>
      <c r="H70" s="6" t="n"/>
      <c r="I70" s="6" t="n"/>
      <c r="J70" s="7">
        <f>IF(C70="","",IF(D70="Dólares",C70*Segmentos!$B$4,C70))</f>
        <v/>
      </c>
    </row>
    <row r="71">
      <c r="A71" s="5" t="n"/>
      <c r="B71" s="6" t="n"/>
      <c r="C71" s="7" t="n"/>
      <c r="D71" s="6" t="n"/>
      <c r="E71" s="6" t="n"/>
      <c r="F71" s="5">
        <f>IF(A71="","",IF(DAY(A71)&lt;=IF(E71="iO",25,10),DATE(YEAR(A71),MONTH(A71),IF(E71="iO",25,10)),DATE(YEAR(A71),MONTH(A71)+1,IF(E71="iO",25,10))))</f>
        <v/>
      </c>
      <c r="G71" s="5">
        <f>IF(F71="","",DATE(YEAR(F71),MONTH(F71)+1,IF(E71="iO",12,5)))</f>
        <v/>
      </c>
      <c r="H71" s="6" t="n"/>
      <c r="I71" s="6" t="n"/>
      <c r="J71" s="7">
        <f>IF(C71="","",IF(D71="Dólares",C71*Segmentos!$B$4,C71))</f>
        <v/>
      </c>
    </row>
    <row r="72">
      <c r="A72" s="5" t="n"/>
      <c r="B72" s="6" t="n"/>
      <c r="C72" s="7" t="n"/>
      <c r="D72" s="6" t="n"/>
      <c r="E72" s="6" t="n"/>
      <c r="F72" s="5">
        <f>IF(A72="","",IF(DAY(A72)&lt;=IF(E72="iO",25,10),DATE(YEAR(A72),MONTH(A72),IF(E72="iO",25,10)),DATE(YEAR(A72),MONTH(A72)+1,IF(E72="iO",25,10))))</f>
        <v/>
      </c>
      <c r="G72" s="5">
        <f>IF(F72="","",DATE(YEAR(F72),MONTH(F72)+1,IF(E72="iO",12,5)))</f>
        <v/>
      </c>
      <c r="H72" s="6" t="n"/>
      <c r="I72" s="6" t="n"/>
      <c r="J72" s="7">
        <f>IF(C72="","",IF(D72="Dólares",C72*Segmentos!$B$4,C72))</f>
        <v/>
      </c>
    </row>
    <row r="73">
      <c r="A73" s="5" t="n"/>
      <c r="B73" s="6" t="n"/>
      <c r="C73" s="7" t="n"/>
      <c r="D73" s="6" t="n"/>
      <c r="E73" s="6" t="n"/>
      <c r="F73" s="5">
        <f>IF(A73="","",IF(DAY(A73)&lt;=IF(E73="iO",25,10),DATE(YEAR(A73),MONTH(A73),IF(E73="iO",25,10)),DATE(YEAR(A73),MONTH(A73)+1,IF(E73="iO",25,10))))</f>
        <v/>
      </c>
      <c r="G73" s="5">
        <f>IF(F73="","",DATE(YEAR(F73),MONTH(F73)+1,IF(E73="iO",12,5)))</f>
        <v/>
      </c>
      <c r="H73" s="6" t="n"/>
      <c r="I73" s="6" t="n"/>
      <c r="J73" s="7">
        <f>IF(C73="","",IF(D73="Dólares",C73*Segmentos!$B$4,C73))</f>
        <v/>
      </c>
    </row>
    <row r="74">
      <c r="A74" s="5" t="n"/>
      <c r="B74" s="6" t="n"/>
      <c r="C74" s="7" t="n"/>
      <c r="D74" s="6" t="n"/>
      <c r="E74" s="6" t="n"/>
      <c r="F74" s="5">
        <f>IF(A74="","",IF(DAY(A74)&lt;=IF(E74="iO",25,10),DATE(YEAR(A74),MONTH(A74),IF(E74="iO",25,10)),DATE(YEAR(A74),MONTH(A74)+1,IF(E74="iO",25,10))))</f>
        <v/>
      </c>
      <c r="G74" s="5">
        <f>IF(F74="","",DATE(YEAR(F74),MONTH(F74)+1,IF(E74="iO",12,5)))</f>
        <v/>
      </c>
      <c r="H74" s="6" t="n"/>
      <c r="I74" s="6" t="n"/>
      <c r="J74" s="7">
        <f>IF(C74="","",IF(D74="Dólares",C74*Segmentos!$B$4,C74))</f>
        <v/>
      </c>
    </row>
    <row r="75">
      <c r="A75" s="5" t="n"/>
      <c r="B75" s="6" t="n"/>
      <c r="C75" s="7" t="n"/>
      <c r="D75" s="6" t="n"/>
      <c r="E75" s="6" t="n"/>
      <c r="F75" s="5">
        <f>IF(A75="","",IF(DAY(A75)&lt;=IF(E75="iO",25,10),DATE(YEAR(A75),MONTH(A75),IF(E75="iO",25,10)),DATE(YEAR(A75),MONTH(A75)+1,IF(E75="iO",25,10))))</f>
        <v/>
      </c>
      <c r="G75" s="5">
        <f>IF(F75="","",DATE(YEAR(F75),MONTH(F75)+1,IF(E75="iO",12,5)))</f>
        <v/>
      </c>
      <c r="H75" s="6" t="n"/>
      <c r="I75" s="6" t="n"/>
      <c r="J75" s="7">
        <f>IF(C75="","",IF(D75="Dólares",C75*Segmentos!$B$4,C75))</f>
        <v/>
      </c>
    </row>
    <row r="76">
      <c r="A76" s="5" t="n"/>
      <c r="B76" s="6" t="n"/>
      <c r="C76" s="7" t="n"/>
      <c r="D76" s="6" t="n"/>
      <c r="E76" s="6" t="n"/>
      <c r="F76" s="5">
        <f>IF(A76="","",IF(DAY(A76)&lt;=IF(E76="iO",25,10),DATE(YEAR(A76),MONTH(A76),IF(E76="iO",25,10)),DATE(YEAR(A76),MONTH(A76)+1,IF(E76="iO",25,10))))</f>
        <v/>
      </c>
      <c r="G76" s="5">
        <f>IF(F76="","",DATE(YEAR(F76),MONTH(F76)+1,IF(E76="iO",12,5)))</f>
        <v/>
      </c>
      <c r="H76" s="6" t="n"/>
      <c r="I76" s="6" t="n"/>
      <c r="J76" s="7">
        <f>IF(C76="","",IF(D76="Dólares",C76*Segmentos!$B$4,C76))</f>
        <v/>
      </c>
    </row>
    <row r="77">
      <c r="A77" s="5" t="n"/>
      <c r="B77" s="6" t="n"/>
      <c r="C77" s="7" t="n"/>
      <c r="D77" s="6" t="n"/>
      <c r="E77" s="6" t="n"/>
      <c r="F77" s="5">
        <f>IF(A77="","",IF(DAY(A77)&lt;=IF(E77="iO",25,10),DATE(YEAR(A77),MONTH(A77),IF(E77="iO",25,10)),DATE(YEAR(A77),MONTH(A77)+1,IF(E77="iO",25,10))))</f>
        <v/>
      </c>
      <c r="G77" s="5">
        <f>IF(F77="","",DATE(YEAR(F77),MONTH(F77)+1,IF(E77="iO",12,5)))</f>
        <v/>
      </c>
      <c r="H77" s="6" t="n"/>
      <c r="I77" s="6" t="n"/>
      <c r="J77" s="7">
        <f>IF(C77="","",IF(D77="Dólares",C77*Segmentos!$B$4,C77))</f>
        <v/>
      </c>
    </row>
    <row r="78">
      <c r="A78" s="5" t="n"/>
      <c r="B78" s="6" t="n"/>
      <c r="C78" s="7" t="n"/>
      <c r="D78" s="6" t="n"/>
      <c r="E78" s="6" t="n"/>
      <c r="F78" s="5">
        <f>IF(A78="","",IF(DAY(A78)&lt;=IF(E78="iO",25,10),DATE(YEAR(A78),MONTH(A78),IF(E78="iO",25,10)),DATE(YEAR(A78),MONTH(A78)+1,IF(E78="iO",25,10))))</f>
        <v/>
      </c>
      <c r="G78" s="5">
        <f>IF(F78="","",DATE(YEAR(F78),MONTH(F78)+1,IF(E78="iO",12,5)))</f>
        <v/>
      </c>
      <c r="H78" s="6" t="n"/>
      <c r="I78" s="6" t="n"/>
      <c r="J78" s="7">
        <f>IF(C78="","",IF(D78="Dólares",C78*Segmentos!$B$4,C78))</f>
        <v/>
      </c>
    </row>
    <row r="79">
      <c r="A79" s="5" t="n"/>
      <c r="B79" s="6" t="n"/>
      <c r="C79" s="7" t="n"/>
      <c r="D79" s="6" t="n"/>
      <c r="E79" s="6" t="n"/>
      <c r="F79" s="5">
        <f>IF(A79="","",IF(DAY(A79)&lt;=IF(E79="iO",25,10),DATE(YEAR(A79),MONTH(A79),IF(E79="iO",25,10)),DATE(YEAR(A79),MONTH(A79)+1,IF(E79="iO",25,10))))</f>
        <v/>
      </c>
      <c r="G79" s="5">
        <f>IF(F79="","",DATE(YEAR(F79),MONTH(F79)+1,IF(E79="iO",12,5)))</f>
        <v/>
      </c>
      <c r="H79" s="6" t="n"/>
      <c r="I79" s="6" t="n"/>
      <c r="J79" s="7">
        <f>IF(C79="","",IF(D79="Dólares",C79*Segmentos!$B$4,C79))</f>
        <v/>
      </c>
    </row>
    <row r="80">
      <c r="A80" s="5" t="n"/>
      <c r="B80" s="6" t="n"/>
      <c r="C80" s="7" t="n"/>
      <c r="D80" s="6" t="n"/>
      <c r="E80" s="6" t="n"/>
      <c r="F80" s="5">
        <f>IF(A80="","",IF(DAY(A80)&lt;=IF(E80="iO",25,10),DATE(YEAR(A80),MONTH(A80),IF(E80="iO",25,10)),DATE(YEAR(A80),MONTH(A80)+1,IF(E80="iO",25,10))))</f>
        <v/>
      </c>
      <c r="G80" s="5">
        <f>IF(F80="","",DATE(YEAR(F80),MONTH(F80)+1,IF(E80="iO",12,5)))</f>
        <v/>
      </c>
      <c r="H80" s="6" t="n"/>
      <c r="I80" s="6" t="n"/>
      <c r="J80" s="7">
        <f>IF(C80="","",IF(D80="Dólares",C80*Segmentos!$B$4,C80))</f>
        <v/>
      </c>
    </row>
    <row r="81">
      <c r="A81" s="5" t="n"/>
      <c r="B81" s="6" t="n"/>
      <c r="C81" s="7" t="n"/>
      <c r="D81" s="6" t="n"/>
      <c r="E81" s="6" t="n"/>
      <c r="F81" s="5">
        <f>IF(A81="","",IF(DAY(A81)&lt;=IF(E81="iO",25,10),DATE(YEAR(A81),MONTH(A81),IF(E81="iO",25,10)),DATE(YEAR(A81),MONTH(A81)+1,IF(E81="iO",25,10))))</f>
        <v/>
      </c>
      <c r="G81" s="5">
        <f>IF(F81="","",DATE(YEAR(F81),MONTH(F81)+1,IF(E81="iO",12,5)))</f>
        <v/>
      </c>
      <c r="H81" s="6" t="n"/>
      <c r="I81" s="6" t="n"/>
      <c r="J81" s="7">
        <f>IF(C81="","",IF(D81="Dólares",C81*Segmentos!$B$4,C81))</f>
        <v/>
      </c>
    </row>
    <row r="82">
      <c r="A82" s="5" t="n"/>
      <c r="B82" s="6" t="n"/>
      <c r="C82" s="7" t="n"/>
      <c r="D82" s="6" t="n"/>
      <c r="E82" s="6" t="n"/>
      <c r="F82" s="5">
        <f>IF(A82="","",IF(DAY(A82)&lt;=IF(E82="iO",25,10),DATE(YEAR(A82),MONTH(A82),IF(E82="iO",25,10)),DATE(YEAR(A82),MONTH(A82)+1,IF(E82="iO",25,10))))</f>
        <v/>
      </c>
      <c r="G82" s="5">
        <f>IF(F82="","",DATE(YEAR(F82),MONTH(F82)+1,IF(E82="iO",12,5)))</f>
        <v/>
      </c>
      <c r="H82" s="6" t="n"/>
      <c r="I82" s="6" t="n"/>
      <c r="J82" s="7">
        <f>IF(C82="","",IF(D82="Dólares",C82*Segmentos!$B$4,C82))</f>
        <v/>
      </c>
    </row>
    <row r="83">
      <c r="A83" s="5" t="n"/>
      <c r="B83" s="6" t="n"/>
      <c r="C83" s="7" t="n"/>
      <c r="D83" s="6" t="n"/>
      <c r="E83" s="6" t="n"/>
      <c r="F83" s="5">
        <f>IF(A83="","",IF(DAY(A83)&lt;=IF(E83="iO",25,10),DATE(YEAR(A83),MONTH(A83),IF(E83="iO",25,10)),DATE(YEAR(A83),MONTH(A83)+1,IF(E83="iO",25,10))))</f>
        <v/>
      </c>
      <c r="G83" s="5">
        <f>IF(F83="","",DATE(YEAR(F83),MONTH(F83)+1,IF(E83="iO",12,5)))</f>
        <v/>
      </c>
      <c r="H83" s="6" t="n"/>
      <c r="I83" s="6" t="n"/>
      <c r="J83" s="7">
        <f>IF(C83="","",IF(D83="Dólares",C83*Segmentos!$B$4,C83))</f>
        <v/>
      </c>
    </row>
    <row r="84">
      <c r="A84" s="5" t="n"/>
      <c r="B84" s="6" t="n"/>
      <c r="C84" s="7" t="n"/>
      <c r="D84" s="6" t="n"/>
      <c r="E84" s="6" t="n"/>
      <c r="F84" s="5">
        <f>IF(A84="","",IF(DAY(A84)&lt;=IF(E84="iO",25,10),DATE(YEAR(A84),MONTH(A84),IF(E84="iO",25,10)),DATE(YEAR(A84),MONTH(A84)+1,IF(E84="iO",25,10))))</f>
        <v/>
      </c>
      <c r="G84" s="5">
        <f>IF(F84="","",DATE(YEAR(F84),MONTH(F84)+1,IF(E84="iO",12,5)))</f>
        <v/>
      </c>
      <c r="H84" s="6" t="n"/>
      <c r="I84" s="6" t="n"/>
      <c r="J84" s="7">
        <f>IF(C84="","",IF(D84="Dólares",C84*Segmentos!$B$4,C84))</f>
        <v/>
      </c>
    </row>
    <row r="85">
      <c r="A85" s="5" t="n"/>
      <c r="B85" s="6" t="n"/>
      <c r="C85" s="7" t="n"/>
      <c r="D85" s="6" t="n"/>
      <c r="E85" s="6" t="n"/>
      <c r="F85" s="5">
        <f>IF(A85="","",IF(DAY(A85)&lt;=IF(E85="iO",25,10),DATE(YEAR(A85),MONTH(A85),IF(E85="iO",25,10)),DATE(YEAR(A85),MONTH(A85)+1,IF(E85="iO",25,10))))</f>
        <v/>
      </c>
      <c r="G85" s="5">
        <f>IF(F85="","",DATE(YEAR(F85),MONTH(F85)+1,IF(E85="iO",12,5)))</f>
        <v/>
      </c>
      <c r="H85" s="6" t="n"/>
      <c r="I85" s="6" t="n"/>
      <c r="J85" s="7">
        <f>IF(C85="","",IF(D85="Dólares",C85*Segmentos!$B$4,C85))</f>
        <v/>
      </c>
    </row>
    <row r="86">
      <c r="A86" s="5" t="n"/>
      <c r="B86" s="6" t="n"/>
      <c r="C86" s="7" t="n"/>
      <c r="D86" s="6" t="n"/>
      <c r="E86" s="6" t="n"/>
      <c r="F86" s="5">
        <f>IF(A86="","",IF(DAY(A86)&lt;=IF(E86="iO",25,10),DATE(YEAR(A86),MONTH(A86),IF(E86="iO",25,10)),DATE(YEAR(A86),MONTH(A86)+1,IF(E86="iO",25,10))))</f>
        <v/>
      </c>
      <c r="G86" s="5">
        <f>IF(F86="","",DATE(YEAR(F86),MONTH(F86)+1,IF(E86="iO",12,5)))</f>
        <v/>
      </c>
      <c r="H86" s="6" t="n"/>
      <c r="I86" s="6" t="n"/>
      <c r="J86" s="7">
        <f>IF(C86="","",IF(D86="Dólares",C86*Segmentos!$B$4,C86))</f>
        <v/>
      </c>
    </row>
    <row r="87">
      <c r="A87" s="5" t="n"/>
      <c r="B87" s="6" t="n"/>
      <c r="C87" s="7" t="n"/>
      <c r="D87" s="6" t="n"/>
      <c r="E87" s="6" t="n"/>
      <c r="F87" s="5">
        <f>IF(A87="","",IF(DAY(A87)&lt;=IF(E87="iO",25,10),DATE(YEAR(A87),MONTH(A87),IF(E87="iO",25,10)),DATE(YEAR(A87),MONTH(A87)+1,IF(E87="iO",25,10))))</f>
        <v/>
      </c>
      <c r="G87" s="5">
        <f>IF(F87="","",DATE(YEAR(F87),MONTH(F87)+1,IF(E87="iO",12,5)))</f>
        <v/>
      </c>
      <c r="H87" s="6" t="n"/>
      <c r="I87" s="6" t="n"/>
      <c r="J87" s="7">
        <f>IF(C87="","",IF(D87="Dólares",C87*Segmentos!$B$4,C87))</f>
        <v/>
      </c>
    </row>
    <row r="88">
      <c r="A88" s="5" t="n"/>
      <c r="B88" s="6" t="n"/>
      <c r="C88" s="7" t="n"/>
      <c r="D88" s="6" t="n"/>
      <c r="E88" s="6" t="n"/>
      <c r="F88" s="5">
        <f>IF(A88="","",IF(DAY(A88)&lt;=IF(E88="iO",25,10),DATE(YEAR(A88),MONTH(A88),IF(E88="iO",25,10)),DATE(YEAR(A88),MONTH(A88)+1,IF(E88="iO",25,10))))</f>
        <v/>
      </c>
      <c r="G88" s="5">
        <f>IF(F88="","",DATE(YEAR(F88),MONTH(F88)+1,IF(E88="iO",12,5)))</f>
        <v/>
      </c>
      <c r="H88" s="6" t="n"/>
      <c r="I88" s="6" t="n"/>
      <c r="J88" s="7">
        <f>IF(C88="","",IF(D88="Dólares",C88*Segmentos!$B$4,C88))</f>
        <v/>
      </c>
    </row>
    <row r="89">
      <c r="A89" s="5" t="n"/>
      <c r="B89" s="6" t="n"/>
      <c r="C89" s="7" t="n"/>
      <c r="D89" s="6" t="n"/>
      <c r="E89" s="6" t="n"/>
      <c r="F89" s="5">
        <f>IF(A89="","",IF(DAY(A89)&lt;=IF(E89="iO",25,10),DATE(YEAR(A89),MONTH(A89),IF(E89="iO",25,10)),DATE(YEAR(A89),MONTH(A89)+1,IF(E89="iO",25,10))))</f>
        <v/>
      </c>
      <c r="G89" s="5">
        <f>IF(F89="","",DATE(YEAR(F89),MONTH(F89)+1,IF(E89="iO",12,5)))</f>
        <v/>
      </c>
      <c r="H89" s="6" t="n"/>
      <c r="I89" s="6" t="n"/>
      <c r="J89" s="7">
        <f>IF(C89="","",IF(D89="Dólares",C89*Segmentos!$B$4,C89))</f>
        <v/>
      </c>
    </row>
    <row r="90">
      <c r="A90" s="5" t="n"/>
      <c r="B90" s="6" t="n"/>
      <c r="C90" s="7" t="n"/>
      <c r="D90" s="6" t="n"/>
      <c r="E90" s="6" t="n"/>
      <c r="F90" s="5">
        <f>IF(A90="","",IF(DAY(A90)&lt;=IF(E90="iO",25,10),DATE(YEAR(A90),MONTH(A90),IF(E90="iO",25,10)),DATE(YEAR(A90),MONTH(A90)+1,IF(E90="iO",25,10))))</f>
        <v/>
      </c>
      <c r="G90" s="5">
        <f>IF(F90="","",DATE(YEAR(F90),MONTH(F90)+1,IF(E90="iO",12,5)))</f>
        <v/>
      </c>
      <c r="H90" s="6" t="n"/>
      <c r="I90" s="6" t="n"/>
      <c r="J90" s="7">
        <f>IF(C90="","",IF(D90="Dólares",C90*Segmentos!$B$4,C90))</f>
        <v/>
      </c>
    </row>
    <row r="91">
      <c r="A91" s="5" t="n"/>
      <c r="B91" s="6" t="n"/>
      <c r="C91" s="7" t="n"/>
      <c r="D91" s="6" t="n"/>
      <c r="E91" s="6" t="n"/>
      <c r="F91" s="5">
        <f>IF(A91="","",IF(DAY(A91)&lt;=IF(E91="iO",25,10),DATE(YEAR(A91),MONTH(A91),IF(E91="iO",25,10)),DATE(YEAR(A91),MONTH(A91)+1,IF(E91="iO",25,10))))</f>
        <v/>
      </c>
      <c r="G91" s="5">
        <f>IF(F91="","",DATE(YEAR(F91),MONTH(F91)+1,IF(E91="iO",12,5)))</f>
        <v/>
      </c>
      <c r="H91" s="6" t="n"/>
      <c r="I91" s="6" t="n"/>
      <c r="J91" s="7">
        <f>IF(C91="","",IF(D91="Dólares",C91*Segmentos!$B$4,C91))</f>
        <v/>
      </c>
    </row>
    <row r="92">
      <c r="A92" s="5" t="n"/>
      <c r="B92" s="6" t="n"/>
      <c r="C92" s="7" t="n"/>
      <c r="D92" s="6" t="n"/>
      <c r="E92" s="6" t="n"/>
      <c r="F92" s="5">
        <f>IF(A92="","",IF(DAY(A92)&lt;=IF(E92="iO",25,10),DATE(YEAR(A92),MONTH(A92),IF(E92="iO",25,10)),DATE(YEAR(A92),MONTH(A92)+1,IF(E92="iO",25,10))))</f>
        <v/>
      </c>
      <c r="G92" s="5">
        <f>IF(F92="","",DATE(YEAR(F92),MONTH(F92)+1,IF(E92="iO",12,5)))</f>
        <v/>
      </c>
      <c r="H92" s="6" t="n"/>
      <c r="I92" s="6" t="n"/>
      <c r="J92" s="7">
        <f>IF(C92="","",IF(D92="Dólares",C92*Segmentos!$B$4,C92))</f>
        <v/>
      </c>
    </row>
    <row r="93">
      <c r="A93" s="5" t="n"/>
      <c r="B93" s="6" t="n"/>
      <c r="C93" s="7" t="n"/>
      <c r="D93" s="6" t="n"/>
      <c r="E93" s="6" t="n"/>
      <c r="F93" s="5">
        <f>IF(A93="","",IF(DAY(A93)&lt;=IF(E93="iO",25,10),DATE(YEAR(A93),MONTH(A93),IF(E93="iO",25,10)),DATE(YEAR(A93),MONTH(A93)+1,IF(E93="iO",25,10))))</f>
        <v/>
      </c>
      <c r="G93" s="5">
        <f>IF(F93="","",DATE(YEAR(F93),MONTH(F93)+1,IF(E93="iO",12,5)))</f>
        <v/>
      </c>
      <c r="H93" s="6" t="n"/>
      <c r="I93" s="6" t="n"/>
      <c r="J93" s="7">
        <f>IF(C93="","",IF(D93="Dólares",C93*Segmentos!$B$4,C93))</f>
        <v/>
      </c>
    </row>
    <row r="94">
      <c r="A94" s="5" t="n"/>
      <c r="B94" s="6" t="n"/>
      <c r="C94" s="7" t="n"/>
      <c r="D94" s="6" t="n"/>
      <c r="E94" s="6" t="n"/>
      <c r="F94" s="5">
        <f>IF(A94="","",IF(DAY(A94)&lt;=IF(E94="iO",25,10),DATE(YEAR(A94),MONTH(A94),IF(E94="iO",25,10)),DATE(YEAR(A94),MONTH(A94)+1,IF(E94="iO",25,10))))</f>
        <v/>
      </c>
      <c r="G94" s="5">
        <f>IF(F94="","",DATE(YEAR(F94),MONTH(F94)+1,IF(E94="iO",12,5)))</f>
        <v/>
      </c>
      <c r="H94" s="6" t="n"/>
      <c r="I94" s="6" t="n"/>
      <c r="J94" s="7">
        <f>IF(C94="","",IF(D94="Dólares",C94*Segmentos!$B$4,C94))</f>
        <v/>
      </c>
    </row>
    <row r="95">
      <c r="A95" s="5" t="n"/>
      <c r="B95" s="6" t="n"/>
      <c r="C95" s="7" t="n"/>
      <c r="D95" s="6" t="n"/>
      <c r="E95" s="6" t="n"/>
      <c r="F95" s="5">
        <f>IF(A95="","",IF(DAY(A95)&lt;=IF(E95="iO",25,10),DATE(YEAR(A95),MONTH(A95),IF(E95="iO",25,10)),DATE(YEAR(A95),MONTH(A95)+1,IF(E95="iO",25,10))))</f>
        <v/>
      </c>
      <c r="G95" s="5">
        <f>IF(F95="","",DATE(YEAR(F95),MONTH(F95)+1,IF(E95="iO",12,5)))</f>
        <v/>
      </c>
      <c r="H95" s="6" t="n"/>
      <c r="I95" s="6" t="n"/>
      <c r="J95" s="7">
        <f>IF(C95="","",IF(D95="Dólares",C95*Segmentos!$B$4,C95))</f>
        <v/>
      </c>
    </row>
    <row r="96">
      <c r="A96" s="5" t="n"/>
      <c r="B96" s="6" t="n"/>
      <c r="C96" s="7" t="n"/>
      <c r="D96" s="6" t="n"/>
      <c r="E96" s="6" t="n"/>
      <c r="F96" s="5">
        <f>IF(A96="","",IF(DAY(A96)&lt;=IF(E96="iO",25,10),DATE(YEAR(A96),MONTH(A96),IF(E96="iO",25,10)),DATE(YEAR(A96),MONTH(A96)+1,IF(E96="iO",25,10))))</f>
        <v/>
      </c>
      <c r="G96" s="5">
        <f>IF(F96="","",DATE(YEAR(F96),MONTH(F96)+1,IF(E96="iO",12,5)))</f>
        <v/>
      </c>
      <c r="H96" s="6" t="n"/>
      <c r="I96" s="6" t="n"/>
      <c r="J96" s="7">
        <f>IF(C96="","",IF(D96="Dólares",C96*Segmentos!$B$4,C96))</f>
        <v/>
      </c>
    </row>
    <row r="97">
      <c r="A97" s="5" t="n"/>
      <c r="B97" s="6" t="n"/>
      <c r="C97" s="7" t="n"/>
      <c r="D97" s="6" t="n"/>
      <c r="E97" s="6" t="n"/>
      <c r="F97" s="5">
        <f>IF(A97="","",IF(DAY(A97)&lt;=IF(E97="iO",25,10),DATE(YEAR(A97),MONTH(A97),IF(E97="iO",25,10)),DATE(YEAR(A97),MONTH(A97)+1,IF(E97="iO",25,10))))</f>
        <v/>
      </c>
      <c r="G97" s="5">
        <f>IF(F97="","",DATE(YEAR(F97),MONTH(F97)+1,IF(E97="iO",12,5)))</f>
        <v/>
      </c>
      <c r="H97" s="6" t="n"/>
      <c r="I97" s="6" t="n"/>
      <c r="J97" s="7">
        <f>IF(C97="","",IF(D97="Dólares",C97*Segmentos!$B$4,C97))</f>
        <v/>
      </c>
    </row>
    <row r="98">
      <c r="A98" s="5" t="n"/>
      <c r="B98" s="6" t="n"/>
      <c r="C98" s="7" t="n"/>
      <c r="D98" s="6" t="n"/>
      <c r="E98" s="6" t="n"/>
      <c r="F98" s="5">
        <f>IF(A98="","",IF(DAY(A98)&lt;=IF(E98="iO",25,10),DATE(YEAR(A98),MONTH(A98),IF(E98="iO",25,10)),DATE(YEAR(A98),MONTH(A98)+1,IF(E98="iO",25,10))))</f>
        <v/>
      </c>
      <c r="G98" s="5">
        <f>IF(F98="","",DATE(YEAR(F98),MONTH(F98)+1,IF(E98="iO",12,5)))</f>
        <v/>
      </c>
      <c r="H98" s="6" t="n"/>
      <c r="I98" s="6" t="n"/>
      <c r="J98" s="7">
        <f>IF(C98="","",IF(D98="Dólares",C98*Segmentos!$B$4,C98))</f>
        <v/>
      </c>
    </row>
    <row r="99">
      <c r="A99" s="5" t="n"/>
      <c r="B99" s="6" t="n"/>
      <c r="C99" s="7" t="n"/>
      <c r="D99" s="6" t="n"/>
      <c r="E99" s="6" t="n"/>
      <c r="F99" s="5">
        <f>IF(A99="","",IF(DAY(A99)&lt;=IF(E99="iO",25,10),DATE(YEAR(A99),MONTH(A99),IF(E99="iO",25,10)),DATE(YEAR(A99),MONTH(A99)+1,IF(E99="iO",25,10))))</f>
        <v/>
      </c>
      <c r="G99" s="5">
        <f>IF(F99="","",DATE(YEAR(F99),MONTH(F99)+1,IF(E99="iO",12,5)))</f>
        <v/>
      </c>
      <c r="H99" s="6" t="n"/>
      <c r="I99" s="6" t="n"/>
      <c r="J99" s="7">
        <f>IF(C99="","",IF(D99="Dólares",C99*Segmentos!$B$4,C99))</f>
        <v/>
      </c>
    </row>
    <row r="100">
      <c r="A100" s="5" t="n"/>
      <c r="B100" s="6" t="n"/>
      <c r="C100" s="7" t="n"/>
      <c r="D100" s="6" t="n"/>
      <c r="E100" s="6" t="n"/>
      <c r="F100" s="5">
        <f>IF(A100="","",IF(DAY(A100)&lt;=IF(E100="iO",25,10),DATE(YEAR(A100),MONTH(A100),IF(E100="iO",25,10)),DATE(YEAR(A100),MONTH(A100)+1,IF(E100="iO",25,10))))</f>
        <v/>
      </c>
      <c r="G100" s="5">
        <f>IF(F100="","",DATE(YEAR(F100),MONTH(F100)+1,IF(E100="iO",12,5)))</f>
        <v/>
      </c>
      <c r="H100" s="6" t="n"/>
      <c r="I100" s="6" t="n"/>
      <c r="J100" s="7">
        <f>IF(C100="","",IF(D100="Dólares",C100*Segmentos!$B$4,C100))</f>
        <v/>
      </c>
    </row>
    <row r="101">
      <c r="A101" s="5" t="n"/>
      <c r="B101" s="6" t="n"/>
      <c r="C101" s="7" t="n"/>
      <c r="D101" s="6" t="n"/>
      <c r="E101" s="6" t="n"/>
      <c r="F101" s="5">
        <f>IF(A101="","",IF(DAY(A101)&lt;=IF(E101="iO",25,10),DATE(YEAR(A101),MONTH(A101),IF(E101="iO",25,10)),DATE(YEAR(A101),MONTH(A101)+1,IF(E101="iO",25,10))))</f>
        <v/>
      </c>
      <c r="G101" s="5">
        <f>IF(F101="","",DATE(YEAR(F101),MONTH(F101)+1,IF(E101="iO",12,5)))</f>
        <v/>
      </c>
      <c r="H101" s="6" t="n"/>
      <c r="I101" s="6" t="n"/>
      <c r="J101" s="7">
        <f>IF(C101="","",IF(D101="Dólares",C101*Segmentos!$B$4,C101))</f>
        <v/>
      </c>
    </row>
    <row r="102">
      <c r="A102" s="5" t="n"/>
      <c r="B102" s="6" t="n"/>
      <c r="C102" s="7" t="n"/>
      <c r="D102" s="6" t="n"/>
      <c r="E102" s="6" t="n"/>
      <c r="F102" s="5">
        <f>IF(A102="","",IF(DAY(A102)&lt;=IF(E102="iO",25,10),DATE(YEAR(A102),MONTH(A102),IF(E102="iO",25,10)),DATE(YEAR(A102),MONTH(A102)+1,IF(E102="iO",25,10))))</f>
        <v/>
      </c>
      <c r="G102" s="5">
        <f>IF(F102="","",DATE(YEAR(F102),MONTH(F102)+1,IF(E102="iO",12,5)))</f>
        <v/>
      </c>
      <c r="H102" s="6" t="n"/>
      <c r="I102" s="6" t="n"/>
      <c r="J102" s="7">
        <f>IF(C102="","",IF(D102="Dólares",C102*Segmentos!$B$4,C102))</f>
        <v/>
      </c>
    </row>
    <row r="103">
      <c r="A103" s="5" t="n"/>
      <c r="B103" s="6" t="n"/>
      <c r="C103" s="7" t="n"/>
      <c r="D103" s="6" t="n"/>
      <c r="E103" s="6" t="n"/>
      <c r="F103" s="5">
        <f>IF(A103="","",IF(DAY(A103)&lt;=IF(E103="iO",25,10),DATE(YEAR(A103),MONTH(A103),IF(E103="iO",25,10)),DATE(YEAR(A103),MONTH(A103)+1,IF(E103="iO",25,10))))</f>
        <v/>
      </c>
      <c r="G103" s="5">
        <f>IF(F103="","",DATE(YEAR(F103),MONTH(F103)+1,IF(E103="iO",12,5)))</f>
        <v/>
      </c>
      <c r="H103" s="6" t="n"/>
      <c r="I103" s="6" t="n"/>
      <c r="J103" s="7">
        <f>IF(C103="","",IF(D103="Dólares",C103*Segmentos!$B$4,C103))</f>
        <v/>
      </c>
    </row>
    <row r="104">
      <c r="A104" s="5" t="n"/>
      <c r="B104" s="6" t="n"/>
      <c r="C104" s="7" t="n"/>
      <c r="D104" s="6" t="n"/>
      <c r="E104" s="6" t="n"/>
      <c r="F104" s="5">
        <f>IF(A104="","",IF(DAY(A104)&lt;=IF(E104="iO",25,10),DATE(YEAR(A104),MONTH(A104),IF(E104="iO",25,10)),DATE(YEAR(A104),MONTH(A104)+1,IF(E104="iO",25,10))))</f>
        <v/>
      </c>
      <c r="G104" s="5">
        <f>IF(F104="","",DATE(YEAR(F104),MONTH(F104)+1,IF(E104="iO",12,5)))</f>
        <v/>
      </c>
      <c r="H104" s="6" t="n"/>
      <c r="I104" s="6" t="n"/>
      <c r="J104" s="7">
        <f>IF(C104="","",IF(D104="Dólares",C104*Segmentos!$B$4,C104))</f>
        <v/>
      </c>
    </row>
    <row r="105">
      <c r="A105" s="5" t="n"/>
      <c r="B105" s="6" t="n"/>
      <c r="C105" s="7" t="n"/>
      <c r="D105" s="6" t="n"/>
      <c r="E105" s="6" t="n"/>
      <c r="F105" s="5">
        <f>IF(A105="","",IF(DAY(A105)&lt;=IF(E105="iO",25,10),DATE(YEAR(A105),MONTH(A105),IF(E105="iO",25,10)),DATE(YEAR(A105),MONTH(A105)+1,IF(E105="iO",25,10))))</f>
        <v/>
      </c>
      <c r="G105" s="5">
        <f>IF(F105="","",DATE(YEAR(F105),MONTH(F105)+1,IF(E105="iO",12,5)))</f>
        <v/>
      </c>
      <c r="H105" s="6" t="n"/>
      <c r="I105" s="6" t="n"/>
      <c r="J105" s="7">
        <f>IF(C105="","",IF(D105="Dólares",C105*Segmentos!$B$4,C105))</f>
        <v/>
      </c>
    </row>
    <row r="106">
      <c r="A106" s="5" t="n"/>
      <c r="B106" s="6" t="n"/>
      <c r="C106" s="7" t="n"/>
      <c r="D106" s="6" t="n"/>
      <c r="E106" s="6" t="n"/>
      <c r="F106" s="5">
        <f>IF(A106="","",IF(DAY(A106)&lt;=IF(E106="iO",25,10),DATE(YEAR(A106),MONTH(A106),IF(E106="iO",25,10)),DATE(YEAR(A106),MONTH(A106)+1,IF(E106="iO",25,10))))</f>
        <v/>
      </c>
      <c r="G106" s="5">
        <f>IF(F106="","",DATE(YEAR(F106),MONTH(F106)+1,IF(E106="iO",12,5)))</f>
        <v/>
      </c>
      <c r="H106" s="6" t="n"/>
      <c r="I106" s="6" t="n"/>
      <c r="J106" s="7">
        <f>IF(C106="","",IF(D106="Dólares",C106*Segmentos!$B$4,C106))</f>
        <v/>
      </c>
    </row>
    <row r="107">
      <c r="A107" s="5" t="n"/>
      <c r="B107" s="6" t="n"/>
      <c r="C107" s="7" t="n"/>
      <c r="D107" s="6" t="n"/>
      <c r="E107" s="6" t="n"/>
      <c r="F107" s="5">
        <f>IF(A107="","",IF(DAY(A107)&lt;=IF(E107="iO",25,10),DATE(YEAR(A107),MONTH(A107),IF(E107="iO",25,10)),DATE(YEAR(A107),MONTH(A107)+1,IF(E107="iO",25,10))))</f>
        <v/>
      </c>
      <c r="G107" s="5">
        <f>IF(F107="","",DATE(YEAR(F107),MONTH(F107)+1,IF(E107="iO",12,5)))</f>
        <v/>
      </c>
      <c r="H107" s="6" t="n"/>
      <c r="I107" s="6" t="n"/>
      <c r="J107" s="7">
        <f>IF(C107="","",IF(D107="Dólares",C107*Segmentos!$B$4,C107))</f>
        <v/>
      </c>
    </row>
    <row r="108">
      <c r="A108" s="5" t="n"/>
      <c r="B108" s="6" t="n"/>
      <c r="C108" s="7" t="n"/>
      <c r="D108" s="6" t="n"/>
      <c r="E108" s="6" t="n"/>
      <c r="F108" s="5">
        <f>IF(A108="","",IF(DAY(A108)&lt;=IF(E108="iO",25,10),DATE(YEAR(A108),MONTH(A108),IF(E108="iO",25,10)),DATE(YEAR(A108),MONTH(A108)+1,IF(E108="iO",25,10))))</f>
        <v/>
      </c>
      <c r="G108" s="5">
        <f>IF(F108="","",DATE(YEAR(F108),MONTH(F108)+1,IF(E108="iO",12,5)))</f>
        <v/>
      </c>
      <c r="H108" s="6" t="n"/>
      <c r="I108" s="6" t="n"/>
      <c r="J108" s="7">
        <f>IF(C108="","",IF(D108="Dólares",C108*Segmentos!$B$4,C108))</f>
        <v/>
      </c>
    </row>
    <row r="109">
      <c r="A109" s="5" t="n"/>
      <c r="B109" s="6" t="n"/>
      <c r="C109" s="7" t="n"/>
      <c r="D109" s="6" t="n"/>
      <c r="E109" s="6" t="n"/>
      <c r="F109" s="5">
        <f>IF(A109="","",IF(DAY(A109)&lt;=IF(E109="iO",25,10),DATE(YEAR(A109),MONTH(A109),IF(E109="iO",25,10)),DATE(YEAR(A109),MONTH(A109)+1,IF(E109="iO",25,10))))</f>
        <v/>
      </c>
      <c r="G109" s="5">
        <f>IF(F109="","",DATE(YEAR(F109),MONTH(F109)+1,IF(E109="iO",12,5)))</f>
        <v/>
      </c>
      <c r="H109" s="6" t="n"/>
      <c r="I109" s="6" t="n"/>
      <c r="J109" s="7">
        <f>IF(C109="","",IF(D109="Dólares",C109*Segmentos!$B$4,C109))</f>
        <v/>
      </c>
    </row>
    <row r="110">
      <c r="A110" s="5" t="n"/>
      <c r="B110" s="6" t="n"/>
      <c r="C110" s="7" t="n"/>
      <c r="D110" s="6" t="n"/>
      <c r="E110" s="6" t="n"/>
      <c r="F110" s="5">
        <f>IF(A110="","",IF(DAY(A110)&lt;=IF(E110="iO",25,10),DATE(YEAR(A110),MONTH(A110),IF(E110="iO",25,10)),DATE(YEAR(A110),MONTH(A110)+1,IF(E110="iO",25,10))))</f>
        <v/>
      </c>
      <c r="G110" s="5">
        <f>IF(F110="","",DATE(YEAR(F110),MONTH(F110)+1,IF(E110="iO",12,5)))</f>
        <v/>
      </c>
      <c r="H110" s="6" t="n"/>
      <c r="I110" s="6" t="n"/>
      <c r="J110" s="7">
        <f>IF(C110="","",IF(D110="Dólares",C110*Segmentos!$B$4,C110))</f>
        <v/>
      </c>
    </row>
    <row r="111">
      <c r="A111" s="5" t="n"/>
      <c r="B111" s="6" t="n"/>
      <c r="C111" s="7" t="n"/>
      <c r="D111" s="6" t="n"/>
      <c r="E111" s="6" t="n"/>
      <c r="F111" s="5">
        <f>IF(A111="","",IF(DAY(A111)&lt;=IF(E111="iO",25,10),DATE(YEAR(A111),MONTH(A111),IF(E111="iO",25,10)),DATE(YEAR(A111),MONTH(A111)+1,IF(E111="iO",25,10))))</f>
        <v/>
      </c>
      <c r="G111" s="5">
        <f>IF(F111="","",DATE(YEAR(F111),MONTH(F111)+1,IF(E111="iO",12,5)))</f>
        <v/>
      </c>
      <c r="H111" s="6" t="n"/>
      <c r="I111" s="6" t="n"/>
      <c r="J111" s="7">
        <f>IF(C111="","",IF(D111="Dólares",C111*Segmentos!$B$4,C111))</f>
        <v/>
      </c>
    </row>
    <row r="112">
      <c r="A112" s="5" t="n"/>
      <c r="B112" s="6" t="n"/>
      <c r="C112" s="7" t="n"/>
      <c r="D112" s="6" t="n"/>
      <c r="E112" s="6" t="n"/>
      <c r="F112" s="5">
        <f>IF(A112="","",IF(DAY(A112)&lt;=IF(E112="iO",25,10),DATE(YEAR(A112),MONTH(A112),IF(E112="iO",25,10)),DATE(YEAR(A112),MONTH(A112)+1,IF(E112="iO",25,10))))</f>
        <v/>
      </c>
      <c r="G112" s="5">
        <f>IF(F112="","",DATE(YEAR(F112),MONTH(F112)+1,IF(E112="iO",12,5)))</f>
        <v/>
      </c>
      <c r="H112" s="6" t="n"/>
      <c r="I112" s="6" t="n"/>
      <c r="J112" s="7">
        <f>IF(C112="","",IF(D112="Dólares",C112*Segmentos!$B$4,C112))</f>
        <v/>
      </c>
    </row>
    <row r="113">
      <c r="A113" s="5" t="n"/>
      <c r="B113" s="6" t="n"/>
      <c r="C113" s="7" t="n"/>
      <c r="D113" s="6" t="n"/>
      <c r="E113" s="6" t="n"/>
      <c r="F113" s="5">
        <f>IF(A113="","",IF(DAY(A113)&lt;=IF(E113="iO",25,10),DATE(YEAR(A113),MONTH(A113),IF(E113="iO",25,10)),DATE(YEAR(A113),MONTH(A113)+1,IF(E113="iO",25,10))))</f>
        <v/>
      </c>
      <c r="G113" s="5">
        <f>IF(F113="","",DATE(YEAR(F113),MONTH(F113)+1,IF(E113="iO",12,5)))</f>
        <v/>
      </c>
      <c r="H113" s="6" t="n"/>
      <c r="I113" s="6" t="n"/>
      <c r="J113" s="7">
        <f>IF(C113="","",IF(D113="Dólares",C113*Segmentos!$B$4,C113))</f>
        <v/>
      </c>
    </row>
    <row r="114">
      <c r="A114" s="5" t="n"/>
      <c r="B114" s="6" t="n"/>
      <c r="C114" s="7" t="n"/>
      <c r="D114" s="6" t="n"/>
      <c r="E114" s="6" t="n"/>
      <c r="F114" s="5">
        <f>IF(A114="","",IF(DAY(A114)&lt;=IF(E114="iO",25,10),DATE(YEAR(A114),MONTH(A114),IF(E114="iO",25,10)),DATE(YEAR(A114),MONTH(A114)+1,IF(E114="iO",25,10))))</f>
        <v/>
      </c>
      <c r="G114" s="5">
        <f>IF(F114="","",DATE(YEAR(F114),MONTH(F114)+1,IF(E114="iO",12,5)))</f>
        <v/>
      </c>
      <c r="H114" s="6" t="n"/>
      <c r="I114" s="6" t="n"/>
      <c r="J114" s="7">
        <f>IF(C114="","",IF(D114="Dólares",C114*Segmentos!$B$4,C114))</f>
        <v/>
      </c>
    </row>
    <row r="115">
      <c r="A115" s="5" t="n"/>
      <c r="B115" s="6" t="n"/>
      <c r="C115" s="7" t="n"/>
      <c r="D115" s="6" t="n"/>
      <c r="E115" s="6" t="n"/>
      <c r="F115" s="5">
        <f>IF(A115="","",IF(DAY(A115)&lt;=IF(E115="iO",25,10),DATE(YEAR(A115),MONTH(A115),IF(E115="iO",25,10)),DATE(YEAR(A115),MONTH(A115)+1,IF(E115="iO",25,10))))</f>
        <v/>
      </c>
      <c r="G115" s="5">
        <f>IF(F115="","",DATE(YEAR(F115),MONTH(F115)+1,IF(E115="iO",12,5)))</f>
        <v/>
      </c>
      <c r="H115" s="6" t="n"/>
      <c r="I115" s="6" t="n"/>
      <c r="J115" s="7">
        <f>IF(C115="","",IF(D115="Dólares",C115*Segmentos!$B$4,C115))</f>
        <v/>
      </c>
    </row>
    <row r="116">
      <c r="A116" s="5" t="n"/>
      <c r="B116" s="6" t="n"/>
      <c r="C116" s="7" t="n"/>
      <c r="D116" s="6" t="n"/>
      <c r="E116" s="6" t="n"/>
      <c r="F116" s="5">
        <f>IF(A116="","",IF(DAY(A116)&lt;=IF(E116="iO",25,10),DATE(YEAR(A116),MONTH(A116),IF(E116="iO",25,10)),DATE(YEAR(A116),MONTH(A116)+1,IF(E116="iO",25,10))))</f>
        <v/>
      </c>
      <c r="G116" s="5">
        <f>IF(F116="","",DATE(YEAR(F116),MONTH(F116)+1,IF(E116="iO",12,5)))</f>
        <v/>
      </c>
      <c r="H116" s="6" t="n"/>
      <c r="I116" s="6" t="n"/>
      <c r="J116" s="7">
        <f>IF(C116="","",IF(D116="Dólares",C116*Segmentos!$B$4,C116))</f>
        <v/>
      </c>
    </row>
    <row r="117">
      <c r="A117" s="5" t="n"/>
      <c r="B117" s="6" t="n"/>
      <c r="C117" s="7" t="n"/>
      <c r="D117" s="6" t="n"/>
      <c r="E117" s="6" t="n"/>
      <c r="F117" s="5">
        <f>IF(A117="","",IF(DAY(A117)&lt;=IF(E117="iO",25,10),DATE(YEAR(A117),MONTH(A117),IF(E117="iO",25,10)),DATE(YEAR(A117),MONTH(A117)+1,IF(E117="iO",25,10))))</f>
        <v/>
      </c>
      <c r="G117" s="5">
        <f>IF(F117="","",DATE(YEAR(F117),MONTH(F117)+1,IF(E117="iO",12,5)))</f>
        <v/>
      </c>
      <c r="H117" s="6" t="n"/>
      <c r="I117" s="6" t="n"/>
      <c r="J117" s="7">
        <f>IF(C117="","",IF(D117="Dólares",C117*Segmentos!$B$4,C117))</f>
        <v/>
      </c>
    </row>
    <row r="118">
      <c r="A118" s="5" t="n"/>
      <c r="B118" s="6" t="n"/>
      <c r="C118" s="7" t="n"/>
      <c r="D118" s="6" t="n"/>
      <c r="E118" s="6" t="n"/>
      <c r="F118" s="5">
        <f>IF(A118="","",IF(DAY(A118)&lt;=IF(E118="iO",25,10),DATE(YEAR(A118),MONTH(A118),IF(E118="iO",25,10)),DATE(YEAR(A118),MONTH(A118)+1,IF(E118="iO",25,10))))</f>
        <v/>
      </c>
      <c r="G118" s="5">
        <f>IF(F118="","",DATE(YEAR(F118),MONTH(F118)+1,IF(E118="iO",12,5)))</f>
        <v/>
      </c>
      <c r="H118" s="6" t="n"/>
      <c r="I118" s="6" t="n"/>
      <c r="J118" s="7">
        <f>IF(C118="","",IF(D118="Dólares",C118*Segmentos!$B$4,C118))</f>
        <v/>
      </c>
    </row>
    <row r="119">
      <c r="A119" s="5" t="n"/>
      <c r="B119" s="6" t="n"/>
      <c r="C119" s="7" t="n"/>
      <c r="D119" s="6" t="n"/>
      <c r="E119" s="6" t="n"/>
      <c r="F119" s="5">
        <f>IF(A119="","",IF(DAY(A119)&lt;=IF(E119="iO",25,10),DATE(YEAR(A119),MONTH(A119),IF(E119="iO",25,10)),DATE(YEAR(A119),MONTH(A119)+1,IF(E119="iO",25,10))))</f>
        <v/>
      </c>
      <c r="G119" s="5">
        <f>IF(F119="","",DATE(YEAR(F119),MONTH(F119)+1,IF(E119="iO",12,5)))</f>
        <v/>
      </c>
      <c r="H119" s="6" t="n"/>
      <c r="I119" s="6" t="n"/>
      <c r="J119" s="7">
        <f>IF(C119="","",IF(D119="Dólares",C119*Segmentos!$B$4,C119))</f>
        <v/>
      </c>
    </row>
    <row r="120">
      <c r="A120" s="5" t="n"/>
      <c r="B120" s="6" t="n"/>
      <c r="C120" s="7" t="n"/>
      <c r="D120" s="6" t="n"/>
      <c r="E120" s="6" t="n"/>
      <c r="F120" s="5">
        <f>IF(A120="","",IF(DAY(A120)&lt;=IF(E120="iO",25,10),DATE(YEAR(A120),MONTH(A120),IF(E120="iO",25,10)),DATE(YEAR(A120),MONTH(A120)+1,IF(E120="iO",25,10))))</f>
        <v/>
      </c>
      <c r="G120" s="5">
        <f>IF(F120="","",DATE(YEAR(F120),MONTH(F120)+1,IF(E120="iO",12,5)))</f>
        <v/>
      </c>
      <c r="H120" s="6" t="n"/>
      <c r="I120" s="6" t="n"/>
      <c r="J120" s="7">
        <f>IF(C120="","",IF(D120="Dólares",C120*Segmentos!$B$4,C120))</f>
        <v/>
      </c>
    </row>
    <row r="121">
      <c r="A121" s="5" t="n"/>
      <c r="B121" s="6" t="n"/>
      <c r="C121" s="7" t="n"/>
      <c r="D121" s="6" t="n"/>
      <c r="E121" s="6" t="n"/>
      <c r="F121" s="5">
        <f>IF(A121="","",IF(DAY(A121)&lt;=IF(E121="iO",25,10),DATE(YEAR(A121),MONTH(A121),IF(E121="iO",25,10)),DATE(YEAR(A121),MONTH(A121)+1,IF(E121="iO",25,10))))</f>
        <v/>
      </c>
      <c r="G121" s="5">
        <f>IF(F121="","",DATE(YEAR(F121),MONTH(F121)+1,IF(E121="iO",12,5)))</f>
        <v/>
      </c>
      <c r="H121" s="6" t="n"/>
      <c r="I121" s="6" t="n"/>
      <c r="J121" s="7">
        <f>IF(C121="","",IF(D121="Dólares",C121*Segmentos!$B$4,C121))</f>
        <v/>
      </c>
    </row>
    <row r="122">
      <c r="A122" s="5" t="n"/>
      <c r="B122" s="6" t="n"/>
      <c r="C122" s="7" t="n"/>
      <c r="D122" s="6" t="n"/>
      <c r="E122" s="6" t="n"/>
      <c r="F122" s="5">
        <f>IF(A122="","",IF(DAY(A122)&lt;=IF(E122="iO",25,10),DATE(YEAR(A122),MONTH(A122),IF(E122="iO",25,10)),DATE(YEAR(A122),MONTH(A122)+1,IF(E122="iO",25,10))))</f>
        <v/>
      </c>
      <c r="G122" s="5">
        <f>IF(F122="","",DATE(YEAR(F122),MONTH(F122)+1,IF(E122="iO",12,5)))</f>
        <v/>
      </c>
      <c r="H122" s="6" t="n"/>
      <c r="I122" s="6" t="n"/>
      <c r="J122" s="7">
        <f>IF(C122="","",IF(D122="Dólares",C122*Segmentos!$B$4,C122))</f>
        <v/>
      </c>
    </row>
    <row r="123">
      <c r="A123" s="5" t="n"/>
      <c r="B123" s="6" t="n"/>
      <c r="C123" s="7" t="n"/>
      <c r="D123" s="6" t="n"/>
      <c r="E123" s="6" t="n"/>
      <c r="F123" s="5">
        <f>IF(A123="","",IF(DAY(A123)&lt;=IF(E123="iO",25,10),DATE(YEAR(A123),MONTH(A123),IF(E123="iO",25,10)),DATE(YEAR(A123),MONTH(A123)+1,IF(E123="iO",25,10))))</f>
        <v/>
      </c>
      <c r="G123" s="5">
        <f>IF(F123="","",DATE(YEAR(F123),MONTH(F123)+1,IF(E123="iO",12,5)))</f>
        <v/>
      </c>
      <c r="H123" s="6" t="n"/>
      <c r="I123" s="6" t="n"/>
      <c r="J123" s="7">
        <f>IF(C123="","",IF(D123="Dólares",C123*Segmentos!$B$4,C123))</f>
        <v/>
      </c>
    </row>
    <row r="124">
      <c r="A124" s="5" t="n"/>
      <c r="B124" s="6" t="n"/>
      <c r="C124" s="7" t="n"/>
      <c r="D124" s="6" t="n"/>
      <c r="E124" s="6" t="n"/>
      <c r="F124" s="5">
        <f>IF(A124="","",IF(DAY(A124)&lt;=IF(E124="iO",25,10),DATE(YEAR(A124),MONTH(A124),IF(E124="iO",25,10)),DATE(YEAR(A124),MONTH(A124)+1,IF(E124="iO",25,10))))</f>
        <v/>
      </c>
      <c r="G124" s="5">
        <f>IF(F124="","",DATE(YEAR(F124),MONTH(F124)+1,IF(E124="iO",12,5)))</f>
        <v/>
      </c>
      <c r="H124" s="6" t="n"/>
      <c r="I124" s="6" t="n"/>
      <c r="J124" s="7">
        <f>IF(C124="","",IF(D124="Dólares",C124*Segmentos!$B$4,C124))</f>
        <v/>
      </c>
    </row>
    <row r="125">
      <c r="A125" s="5" t="n"/>
      <c r="B125" s="6" t="n"/>
      <c r="C125" s="7" t="n"/>
      <c r="D125" s="6" t="n"/>
      <c r="E125" s="6" t="n"/>
      <c r="F125" s="5">
        <f>IF(A125="","",IF(DAY(A125)&lt;=IF(E125="iO",25,10),DATE(YEAR(A125),MONTH(A125),IF(E125="iO",25,10)),DATE(YEAR(A125),MONTH(A125)+1,IF(E125="iO",25,10))))</f>
        <v/>
      </c>
      <c r="G125" s="5">
        <f>IF(F125="","",DATE(YEAR(F125),MONTH(F125)+1,IF(E125="iO",12,5)))</f>
        <v/>
      </c>
      <c r="H125" s="6" t="n"/>
      <c r="I125" s="6" t="n"/>
      <c r="J125" s="7">
        <f>IF(C125="","",IF(D125="Dólares",C125*Segmentos!$B$4,C125))</f>
        <v/>
      </c>
    </row>
    <row r="126">
      <c r="A126" s="5" t="n"/>
      <c r="B126" s="6" t="n"/>
      <c r="C126" s="7" t="n"/>
      <c r="D126" s="6" t="n"/>
      <c r="E126" s="6" t="n"/>
      <c r="F126" s="5">
        <f>IF(A126="","",IF(DAY(A126)&lt;=IF(E126="iO",25,10),DATE(YEAR(A126),MONTH(A126),IF(E126="iO",25,10)),DATE(YEAR(A126),MONTH(A126)+1,IF(E126="iO",25,10))))</f>
        <v/>
      </c>
      <c r="G126" s="5">
        <f>IF(F126="","",DATE(YEAR(F126),MONTH(F126)+1,IF(E126="iO",12,5)))</f>
        <v/>
      </c>
      <c r="H126" s="6" t="n"/>
      <c r="I126" s="6" t="n"/>
      <c r="J126" s="7">
        <f>IF(C126="","",IF(D126="Dólares",C126*Segmentos!$B$4,C126))</f>
        <v/>
      </c>
    </row>
    <row r="127">
      <c r="A127" s="5" t="n"/>
      <c r="B127" s="6" t="n"/>
      <c r="C127" s="7" t="n"/>
      <c r="D127" s="6" t="n"/>
      <c r="E127" s="6" t="n"/>
      <c r="F127" s="5">
        <f>IF(A127="","",IF(DAY(A127)&lt;=IF(E127="iO",25,10),DATE(YEAR(A127),MONTH(A127),IF(E127="iO",25,10)),DATE(YEAR(A127),MONTH(A127)+1,IF(E127="iO",25,10))))</f>
        <v/>
      </c>
      <c r="G127" s="5">
        <f>IF(F127="","",DATE(YEAR(F127),MONTH(F127)+1,IF(E127="iO",12,5)))</f>
        <v/>
      </c>
      <c r="H127" s="6" t="n"/>
      <c r="I127" s="6" t="n"/>
      <c r="J127" s="7">
        <f>IF(C127="","",IF(D127="Dólares",C127*Segmentos!$B$4,C127))</f>
        <v/>
      </c>
    </row>
    <row r="128">
      <c r="A128" s="5" t="n"/>
      <c r="B128" s="6" t="n"/>
      <c r="C128" s="7" t="n"/>
      <c r="D128" s="6" t="n"/>
      <c r="E128" s="6" t="n"/>
      <c r="F128" s="5">
        <f>IF(A128="","",IF(DAY(A128)&lt;=IF(E128="iO",25,10),DATE(YEAR(A128),MONTH(A128),IF(E128="iO",25,10)),DATE(YEAR(A128),MONTH(A128)+1,IF(E128="iO",25,10))))</f>
        <v/>
      </c>
      <c r="G128" s="5">
        <f>IF(F128="","",DATE(YEAR(F128),MONTH(F128)+1,IF(E128="iO",12,5)))</f>
        <v/>
      </c>
      <c r="H128" s="6" t="n"/>
      <c r="I128" s="6" t="n"/>
      <c r="J128" s="7">
        <f>IF(C128="","",IF(D128="Dólares",C128*Segmentos!$B$4,C128))</f>
        <v/>
      </c>
    </row>
    <row r="129">
      <c r="A129" s="5" t="n"/>
      <c r="B129" s="6" t="n"/>
      <c r="C129" s="7" t="n"/>
      <c r="D129" s="6" t="n"/>
      <c r="E129" s="6" t="n"/>
      <c r="F129" s="5">
        <f>IF(A129="","",IF(DAY(A129)&lt;=IF(E129="iO",25,10),DATE(YEAR(A129),MONTH(A129),IF(E129="iO",25,10)),DATE(YEAR(A129),MONTH(A129)+1,IF(E129="iO",25,10))))</f>
        <v/>
      </c>
      <c r="G129" s="5">
        <f>IF(F129="","",DATE(YEAR(F129),MONTH(F129)+1,IF(E129="iO",12,5)))</f>
        <v/>
      </c>
      <c r="H129" s="6" t="n"/>
      <c r="I129" s="6" t="n"/>
      <c r="J129" s="7">
        <f>IF(C129="","",IF(D129="Dólares",C129*Segmentos!$B$4,C129))</f>
        <v/>
      </c>
    </row>
    <row r="130">
      <c r="A130" s="5" t="n"/>
      <c r="B130" s="6" t="n"/>
      <c r="C130" s="7" t="n"/>
      <c r="D130" s="6" t="n"/>
      <c r="E130" s="6" t="n"/>
      <c r="F130" s="5">
        <f>IF(A130="","",IF(DAY(A130)&lt;=IF(E130="iO",25,10),DATE(YEAR(A130),MONTH(A130),IF(E130="iO",25,10)),DATE(YEAR(A130),MONTH(A130)+1,IF(E130="iO",25,10))))</f>
        <v/>
      </c>
      <c r="G130" s="5">
        <f>IF(F130="","",DATE(YEAR(F130),MONTH(F130)+1,IF(E130="iO",12,5)))</f>
        <v/>
      </c>
      <c r="H130" s="6" t="n"/>
      <c r="I130" s="6" t="n"/>
      <c r="J130" s="7">
        <f>IF(C130="","",IF(D130="Dólares",C130*Segmentos!$B$4,C130))</f>
        <v/>
      </c>
    </row>
    <row r="131">
      <c r="A131" s="5" t="n"/>
      <c r="B131" s="6" t="n"/>
      <c r="C131" s="7" t="n"/>
      <c r="D131" s="6" t="n"/>
      <c r="E131" s="6" t="n"/>
      <c r="F131" s="5">
        <f>IF(A131="","",IF(DAY(A131)&lt;=IF(E131="iO",25,10),DATE(YEAR(A131),MONTH(A131),IF(E131="iO",25,10)),DATE(YEAR(A131),MONTH(A131)+1,IF(E131="iO",25,10))))</f>
        <v/>
      </c>
      <c r="G131" s="5">
        <f>IF(F131="","",DATE(YEAR(F131),MONTH(F131)+1,IF(E131="iO",12,5)))</f>
        <v/>
      </c>
      <c r="H131" s="6" t="n"/>
      <c r="I131" s="6" t="n"/>
      <c r="J131" s="7">
        <f>IF(C131="","",IF(D131="Dólares",C131*Segmentos!$B$4,C131))</f>
        <v/>
      </c>
    </row>
    <row r="132">
      <c r="A132" s="5" t="n"/>
      <c r="B132" s="6" t="n"/>
      <c r="C132" s="7" t="n"/>
      <c r="D132" s="6" t="n"/>
      <c r="E132" s="6" t="n"/>
      <c r="F132" s="5">
        <f>IF(A132="","",IF(DAY(A132)&lt;=IF(E132="iO",25,10),DATE(YEAR(A132),MONTH(A132),IF(E132="iO",25,10)),DATE(YEAR(A132),MONTH(A132)+1,IF(E132="iO",25,10))))</f>
        <v/>
      </c>
      <c r="G132" s="5">
        <f>IF(F132="","",DATE(YEAR(F132),MONTH(F132)+1,IF(E132="iO",12,5)))</f>
        <v/>
      </c>
      <c r="H132" s="6" t="n"/>
      <c r="I132" s="6" t="n"/>
      <c r="J132" s="7">
        <f>IF(C132="","",IF(D132="Dólares",C132*Segmentos!$B$4,C132))</f>
        <v/>
      </c>
    </row>
    <row r="133">
      <c r="A133" s="5" t="n"/>
      <c r="B133" s="6" t="n"/>
      <c r="C133" s="7" t="n"/>
      <c r="D133" s="6" t="n"/>
      <c r="E133" s="6" t="n"/>
      <c r="F133" s="5">
        <f>IF(A133="","",IF(DAY(A133)&lt;=IF(E133="iO",25,10),DATE(YEAR(A133),MONTH(A133),IF(E133="iO",25,10)),DATE(YEAR(A133),MONTH(A133)+1,IF(E133="iO",25,10))))</f>
        <v/>
      </c>
      <c r="G133" s="5">
        <f>IF(F133="","",DATE(YEAR(F133),MONTH(F133)+1,IF(E133="iO",12,5)))</f>
        <v/>
      </c>
      <c r="H133" s="6" t="n"/>
      <c r="I133" s="6" t="n"/>
      <c r="J133" s="7">
        <f>IF(C133="","",IF(D133="Dólares",C133*Segmentos!$B$4,C133))</f>
        <v/>
      </c>
    </row>
    <row r="134">
      <c r="A134" s="5" t="n"/>
      <c r="B134" s="6" t="n"/>
      <c r="C134" s="7" t="n"/>
      <c r="D134" s="6" t="n"/>
      <c r="E134" s="6" t="n"/>
      <c r="F134" s="5">
        <f>IF(A134="","",IF(DAY(A134)&lt;=IF(E134="iO",25,10),DATE(YEAR(A134),MONTH(A134),IF(E134="iO",25,10)),DATE(YEAR(A134),MONTH(A134)+1,IF(E134="iO",25,10))))</f>
        <v/>
      </c>
      <c r="G134" s="5">
        <f>IF(F134="","",DATE(YEAR(F134),MONTH(F134)+1,IF(E134="iO",12,5)))</f>
        <v/>
      </c>
      <c r="H134" s="6" t="n"/>
      <c r="I134" s="6" t="n"/>
      <c r="J134" s="7">
        <f>IF(C134="","",IF(D134="Dólares",C134*Segmentos!$B$4,C134))</f>
        <v/>
      </c>
    </row>
    <row r="135">
      <c r="A135" s="5" t="n"/>
      <c r="B135" s="6" t="n"/>
      <c r="C135" s="7" t="n"/>
      <c r="D135" s="6" t="n"/>
      <c r="E135" s="6" t="n"/>
      <c r="F135" s="5">
        <f>IF(A135="","",IF(DAY(A135)&lt;=IF(E135="iO",25,10),DATE(YEAR(A135),MONTH(A135),IF(E135="iO",25,10)),DATE(YEAR(A135),MONTH(A135)+1,IF(E135="iO",25,10))))</f>
        <v/>
      </c>
      <c r="G135" s="5">
        <f>IF(F135="","",DATE(YEAR(F135),MONTH(F135)+1,IF(E135="iO",12,5)))</f>
        <v/>
      </c>
      <c r="H135" s="6" t="n"/>
      <c r="I135" s="6" t="n"/>
      <c r="J135" s="7">
        <f>IF(C135="","",IF(D135="Dólares",C135*Segmentos!$B$4,C135))</f>
        <v/>
      </c>
    </row>
    <row r="136">
      <c r="A136" s="5" t="n"/>
      <c r="B136" s="6" t="n"/>
      <c r="C136" s="7" t="n"/>
      <c r="D136" s="6" t="n"/>
      <c r="E136" s="6" t="n"/>
      <c r="F136" s="5">
        <f>IF(A136="","",IF(DAY(A136)&lt;=IF(E136="iO",25,10),DATE(YEAR(A136),MONTH(A136),IF(E136="iO",25,10)),DATE(YEAR(A136),MONTH(A136)+1,IF(E136="iO",25,10))))</f>
        <v/>
      </c>
      <c r="G136" s="5">
        <f>IF(F136="","",DATE(YEAR(F136),MONTH(F136)+1,IF(E136="iO",12,5)))</f>
        <v/>
      </c>
      <c r="H136" s="6" t="n"/>
      <c r="I136" s="6" t="n"/>
      <c r="J136" s="7">
        <f>IF(C136="","",IF(D136="Dólares",C136*Segmentos!$B$4,C136))</f>
        <v/>
      </c>
    </row>
    <row r="137">
      <c r="A137" s="5" t="n"/>
      <c r="B137" s="6" t="n"/>
      <c r="C137" s="7" t="n"/>
      <c r="D137" s="6" t="n"/>
      <c r="E137" s="6" t="n"/>
      <c r="F137" s="5">
        <f>IF(A137="","",IF(DAY(A137)&lt;=IF(E137="iO",25,10),DATE(YEAR(A137),MONTH(A137),IF(E137="iO",25,10)),DATE(YEAR(A137),MONTH(A137)+1,IF(E137="iO",25,10))))</f>
        <v/>
      </c>
      <c r="G137" s="5">
        <f>IF(F137="","",DATE(YEAR(F137),MONTH(F137)+1,IF(E137="iO",12,5)))</f>
        <v/>
      </c>
      <c r="H137" s="6" t="n"/>
      <c r="I137" s="6" t="n"/>
      <c r="J137" s="7">
        <f>IF(C137="","",IF(D137="Dólares",C137*Segmentos!$B$4,C137))</f>
        <v/>
      </c>
    </row>
    <row r="138">
      <c r="A138" s="5" t="n"/>
      <c r="B138" s="6" t="n"/>
      <c r="C138" s="7" t="n"/>
      <c r="D138" s="6" t="n"/>
      <c r="E138" s="6" t="n"/>
      <c r="F138" s="5">
        <f>IF(A138="","",IF(DAY(A138)&lt;=IF(E138="iO",25,10),DATE(YEAR(A138),MONTH(A138),IF(E138="iO",25,10)),DATE(YEAR(A138),MONTH(A138)+1,IF(E138="iO",25,10))))</f>
        <v/>
      </c>
      <c r="G138" s="5">
        <f>IF(F138="","",DATE(YEAR(F138),MONTH(F138)+1,IF(E138="iO",12,5)))</f>
        <v/>
      </c>
      <c r="H138" s="6" t="n"/>
      <c r="I138" s="6" t="n"/>
      <c r="J138" s="7">
        <f>IF(C138="","",IF(D138="Dólares",C138*Segmentos!$B$4,C138))</f>
        <v/>
      </c>
    </row>
    <row r="139">
      <c r="A139" s="5" t="n"/>
      <c r="B139" s="6" t="n"/>
      <c r="C139" s="7" t="n"/>
      <c r="D139" s="6" t="n"/>
      <c r="E139" s="6" t="n"/>
      <c r="F139" s="5">
        <f>IF(A139="","",IF(DAY(A139)&lt;=IF(E139="iO",25,10),DATE(YEAR(A139),MONTH(A139),IF(E139="iO",25,10)),DATE(YEAR(A139),MONTH(A139)+1,IF(E139="iO",25,10))))</f>
        <v/>
      </c>
      <c r="G139" s="5">
        <f>IF(F139="","",DATE(YEAR(F139),MONTH(F139)+1,IF(E139="iO",12,5)))</f>
        <v/>
      </c>
      <c r="H139" s="6" t="n"/>
      <c r="I139" s="6" t="n"/>
      <c r="J139" s="7">
        <f>IF(C139="","",IF(D139="Dólares",C139*Segmentos!$B$4,C139))</f>
        <v/>
      </c>
    </row>
    <row r="140">
      <c r="A140" s="5" t="n"/>
      <c r="B140" s="6" t="n"/>
      <c r="C140" s="7" t="n"/>
      <c r="D140" s="6" t="n"/>
      <c r="E140" s="6" t="n"/>
      <c r="F140" s="5">
        <f>IF(A140="","",IF(DAY(A140)&lt;=IF(E140="iO",25,10),DATE(YEAR(A140),MONTH(A140),IF(E140="iO",25,10)),DATE(YEAR(A140),MONTH(A140)+1,IF(E140="iO",25,10))))</f>
        <v/>
      </c>
      <c r="G140" s="5">
        <f>IF(F140="","",DATE(YEAR(F140),MONTH(F140)+1,IF(E140="iO",12,5)))</f>
        <v/>
      </c>
      <c r="H140" s="6" t="n"/>
      <c r="I140" s="6" t="n"/>
      <c r="J140" s="7">
        <f>IF(C140="","",IF(D140="Dólares",C140*Segmentos!$B$4,C140))</f>
        <v/>
      </c>
    </row>
    <row r="141">
      <c r="A141" s="5" t="n"/>
      <c r="B141" s="6" t="n"/>
      <c r="C141" s="7" t="n"/>
      <c r="D141" s="6" t="n"/>
      <c r="E141" s="6" t="n"/>
      <c r="F141" s="5">
        <f>IF(A141="","",IF(DAY(A141)&lt;=IF(E141="iO",25,10),DATE(YEAR(A141),MONTH(A141),IF(E141="iO",25,10)),DATE(YEAR(A141),MONTH(A141)+1,IF(E141="iO",25,10))))</f>
        <v/>
      </c>
      <c r="G141" s="5">
        <f>IF(F141="","",DATE(YEAR(F141),MONTH(F141)+1,IF(E141="iO",12,5)))</f>
        <v/>
      </c>
      <c r="H141" s="6" t="n"/>
      <c r="I141" s="6" t="n"/>
      <c r="J141" s="7">
        <f>IF(C141="","",IF(D141="Dólares",C141*Segmentos!$B$4,C141))</f>
        <v/>
      </c>
    </row>
    <row r="142">
      <c r="A142" s="5" t="n"/>
      <c r="B142" s="6" t="n"/>
      <c r="C142" s="7" t="n"/>
      <c r="D142" s="6" t="n"/>
      <c r="E142" s="6" t="n"/>
      <c r="F142" s="5">
        <f>IF(A142="","",IF(DAY(A142)&lt;=IF(E142="iO",25,10),DATE(YEAR(A142),MONTH(A142),IF(E142="iO",25,10)),DATE(YEAR(A142),MONTH(A142)+1,IF(E142="iO",25,10))))</f>
        <v/>
      </c>
      <c r="G142" s="5">
        <f>IF(F142="","",DATE(YEAR(F142),MONTH(F142)+1,IF(E142="iO",12,5)))</f>
        <v/>
      </c>
      <c r="H142" s="6" t="n"/>
      <c r="I142" s="6" t="n"/>
      <c r="J142" s="7">
        <f>IF(C142="","",IF(D142="Dólares",C142*Segmentos!$B$4,C142))</f>
        <v/>
      </c>
    </row>
    <row r="143">
      <c r="A143" s="5" t="n"/>
      <c r="B143" s="6" t="n"/>
      <c r="C143" s="7" t="n"/>
      <c r="D143" s="6" t="n"/>
      <c r="E143" s="6" t="n"/>
      <c r="F143" s="5">
        <f>IF(A143="","",IF(DAY(A143)&lt;=IF(E143="iO",25,10),DATE(YEAR(A143),MONTH(A143),IF(E143="iO",25,10)),DATE(YEAR(A143),MONTH(A143)+1,IF(E143="iO",25,10))))</f>
        <v/>
      </c>
      <c r="G143" s="5">
        <f>IF(F143="","",DATE(YEAR(F143),MONTH(F143)+1,IF(E143="iO",12,5)))</f>
        <v/>
      </c>
      <c r="H143" s="6" t="n"/>
      <c r="I143" s="6" t="n"/>
      <c r="J143" s="7">
        <f>IF(C143="","",IF(D143="Dólares",C143*Segmentos!$B$4,C143))</f>
        <v/>
      </c>
    </row>
    <row r="144">
      <c r="A144" s="5" t="n"/>
      <c r="B144" s="6" t="n"/>
      <c r="C144" s="7" t="n"/>
      <c r="D144" s="6" t="n"/>
      <c r="E144" s="6" t="n"/>
      <c r="F144" s="5">
        <f>IF(A144="","",IF(DAY(A144)&lt;=IF(E144="iO",25,10),DATE(YEAR(A144),MONTH(A144),IF(E144="iO",25,10)),DATE(YEAR(A144),MONTH(A144)+1,IF(E144="iO",25,10))))</f>
        <v/>
      </c>
      <c r="G144" s="5">
        <f>IF(F144="","",DATE(YEAR(F144),MONTH(F144)+1,IF(E144="iO",12,5)))</f>
        <v/>
      </c>
      <c r="H144" s="6" t="n"/>
      <c r="I144" s="6" t="n"/>
      <c r="J144" s="7">
        <f>IF(C144="","",IF(D144="Dólares",C144*Segmentos!$B$4,C144))</f>
        <v/>
      </c>
    </row>
    <row r="145">
      <c r="A145" s="5" t="n"/>
      <c r="B145" s="6" t="n"/>
      <c r="C145" s="7" t="n"/>
      <c r="D145" s="6" t="n"/>
      <c r="E145" s="6" t="n"/>
      <c r="F145" s="5">
        <f>IF(A145="","",IF(DAY(A145)&lt;=IF(E145="iO",25,10),DATE(YEAR(A145),MONTH(A145),IF(E145="iO",25,10)),DATE(YEAR(A145),MONTH(A145)+1,IF(E145="iO",25,10))))</f>
        <v/>
      </c>
      <c r="G145" s="5">
        <f>IF(F145="","",DATE(YEAR(F145),MONTH(F145)+1,IF(E145="iO",12,5)))</f>
        <v/>
      </c>
      <c r="H145" s="6" t="n"/>
      <c r="I145" s="6" t="n"/>
      <c r="J145" s="7">
        <f>IF(C145="","",IF(D145="Dólares",C145*Segmentos!$B$4,C145))</f>
        <v/>
      </c>
    </row>
    <row r="146">
      <c r="A146" s="5" t="n"/>
      <c r="B146" s="6" t="n"/>
      <c r="C146" s="7" t="n"/>
      <c r="D146" s="6" t="n"/>
      <c r="E146" s="6" t="n"/>
      <c r="F146" s="5">
        <f>IF(A146="","",IF(DAY(A146)&lt;=IF(E146="iO",25,10),DATE(YEAR(A146),MONTH(A146),IF(E146="iO",25,10)),DATE(YEAR(A146),MONTH(A146)+1,IF(E146="iO",25,10))))</f>
        <v/>
      </c>
      <c r="G146" s="5">
        <f>IF(F146="","",DATE(YEAR(F146),MONTH(F146)+1,IF(E146="iO",12,5)))</f>
        <v/>
      </c>
      <c r="H146" s="6" t="n"/>
      <c r="I146" s="6" t="n"/>
      <c r="J146" s="7">
        <f>IF(C146="","",IF(D146="Dólares",C146*Segmentos!$B$4,C146))</f>
        <v/>
      </c>
    </row>
    <row r="147">
      <c r="A147" s="5" t="n"/>
      <c r="B147" s="6" t="n"/>
      <c r="C147" s="7" t="n"/>
      <c r="D147" s="6" t="n"/>
      <c r="E147" s="6" t="n"/>
      <c r="F147" s="5">
        <f>IF(A147="","",IF(DAY(A147)&lt;=IF(E147="iO",25,10),DATE(YEAR(A147),MONTH(A147),IF(E147="iO",25,10)),DATE(YEAR(A147),MONTH(A147)+1,IF(E147="iO",25,10))))</f>
        <v/>
      </c>
      <c r="G147" s="5">
        <f>IF(F147="","",DATE(YEAR(F147),MONTH(F147)+1,IF(E147="iO",12,5)))</f>
        <v/>
      </c>
      <c r="H147" s="6" t="n"/>
      <c r="I147" s="6" t="n"/>
      <c r="J147" s="7">
        <f>IF(C147="","",IF(D147="Dólares",C147*Segmentos!$B$4,C147))</f>
        <v/>
      </c>
    </row>
    <row r="148">
      <c r="A148" s="5" t="n"/>
      <c r="B148" s="6" t="n"/>
      <c r="C148" s="7" t="n"/>
      <c r="D148" s="6" t="n"/>
      <c r="E148" s="6" t="n"/>
      <c r="F148" s="5">
        <f>IF(A148="","",IF(DAY(A148)&lt;=IF(E148="iO",25,10),DATE(YEAR(A148),MONTH(A148),IF(E148="iO",25,10)),DATE(YEAR(A148),MONTH(A148)+1,IF(E148="iO",25,10))))</f>
        <v/>
      </c>
      <c r="G148" s="5">
        <f>IF(F148="","",DATE(YEAR(F148),MONTH(F148)+1,IF(E148="iO",12,5)))</f>
        <v/>
      </c>
      <c r="H148" s="6" t="n"/>
      <c r="I148" s="6" t="n"/>
      <c r="J148" s="7">
        <f>IF(C148="","",IF(D148="Dólares",C148*Segmentos!$B$4,C148))</f>
        <v/>
      </c>
    </row>
    <row r="149">
      <c r="A149" s="5" t="n"/>
      <c r="B149" s="6" t="n"/>
      <c r="C149" s="7" t="n"/>
      <c r="D149" s="6" t="n"/>
      <c r="E149" s="6" t="n"/>
      <c r="F149" s="5">
        <f>IF(A149="","",IF(DAY(A149)&lt;=IF(E149="iO",25,10),DATE(YEAR(A149),MONTH(A149),IF(E149="iO",25,10)),DATE(YEAR(A149),MONTH(A149)+1,IF(E149="iO",25,10))))</f>
        <v/>
      </c>
      <c r="G149" s="5">
        <f>IF(F149="","",DATE(YEAR(F149),MONTH(F149)+1,IF(E149="iO",12,5)))</f>
        <v/>
      </c>
      <c r="H149" s="6" t="n"/>
      <c r="I149" s="6" t="n"/>
      <c r="J149" s="7">
        <f>IF(C149="","",IF(D149="Dólares",C149*Segmentos!$B$4,C149))</f>
        <v/>
      </c>
    </row>
    <row r="150">
      <c r="A150" s="5" t="n"/>
      <c r="B150" s="6" t="n"/>
      <c r="C150" s="7" t="n"/>
      <c r="D150" s="6" t="n"/>
      <c r="E150" s="6" t="n"/>
      <c r="F150" s="5">
        <f>IF(A150="","",IF(DAY(A150)&lt;=IF(E150="iO",25,10),DATE(YEAR(A150),MONTH(A150),IF(E150="iO",25,10)),DATE(YEAR(A150),MONTH(A150)+1,IF(E150="iO",25,10))))</f>
        <v/>
      </c>
      <c r="G150" s="5">
        <f>IF(F150="","",DATE(YEAR(F150),MONTH(F150)+1,IF(E150="iO",12,5)))</f>
        <v/>
      </c>
      <c r="H150" s="6" t="n"/>
      <c r="I150" s="6" t="n"/>
      <c r="J150" s="7">
        <f>IF(C150="","",IF(D150="Dólares",C150*Segmentos!$B$4,C150))</f>
        <v/>
      </c>
    </row>
    <row r="151">
      <c r="A151" s="5" t="n"/>
      <c r="B151" s="6" t="n"/>
      <c r="C151" s="7" t="n"/>
      <c r="D151" s="6" t="n"/>
      <c r="E151" s="6" t="n"/>
      <c r="F151" s="5">
        <f>IF(A151="","",IF(DAY(A151)&lt;=IF(E151="iO",25,10),DATE(YEAR(A151),MONTH(A151),IF(E151="iO",25,10)),DATE(YEAR(A151),MONTH(A151)+1,IF(E151="iO",25,10))))</f>
        <v/>
      </c>
      <c r="G151" s="5">
        <f>IF(F151="","",DATE(YEAR(F151),MONTH(F151)+1,IF(E151="iO",12,5)))</f>
        <v/>
      </c>
      <c r="H151" s="6" t="n"/>
      <c r="I151" s="6" t="n"/>
      <c r="J151" s="7">
        <f>IF(C151="","",IF(D151="Dólares",C151*Segmentos!$B$4,C151))</f>
        <v/>
      </c>
    </row>
    <row r="152">
      <c r="A152" s="5" t="n"/>
      <c r="B152" s="6" t="n"/>
      <c r="C152" s="7" t="n"/>
      <c r="D152" s="6" t="n"/>
      <c r="E152" s="6" t="n"/>
      <c r="F152" s="5">
        <f>IF(A152="","",IF(DAY(A152)&lt;=IF(E152="iO",25,10),DATE(YEAR(A152),MONTH(A152),IF(E152="iO",25,10)),DATE(YEAR(A152),MONTH(A152)+1,IF(E152="iO",25,10))))</f>
        <v/>
      </c>
      <c r="G152" s="5">
        <f>IF(F152="","",DATE(YEAR(F152),MONTH(F152)+1,IF(E152="iO",12,5)))</f>
        <v/>
      </c>
      <c r="H152" s="6" t="n"/>
      <c r="I152" s="6" t="n"/>
      <c r="J152" s="7">
        <f>IF(C152="","",IF(D152="Dólares",C152*Segmentos!$B$4,C152))</f>
        <v/>
      </c>
    </row>
    <row r="153">
      <c r="A153" s="5" t="n"/>
      <c r="B153" s="6" t="n"/>
      <c r="C153" s="7" t="n"/>
      <c r="D153" s="6" t="n"/>
      <c r="E153" s="6" t="n"/>
      <c r="F153" s="5">
        <f>IF(A153="","",IF(DAY(A153)&lt;=IF(E153="iO",25,10),DATE(YEAR(A153),MONTH(A153),IF(E153="iO",25,10)),DATE(YEAR(A153),MONTH(A153)+1,IF(E153="iO",25,10))))</f>
        <v/>
      </c>
      <c r="G153" s="5">
        <f>IF(F153="","",DATE(YEAR(F153),MONTH(F153)+1,IF(E153="iO",12,5)))</f>
        <v/>
      </c>
      <c r="H153" s="6" t="n"/>
      <c r="I153" s="6" t="n"/>
      <c r="J153" s="7">
        <f>IF(C153="","",IF(D153="Dólares",C153*Segmentos!$B$4,C153))</f>
        <v/>
      </c>
    </row>
    <row r="154">
      <c r="A154" s="5" t="n"/>
      <c r="B154" s="6" t="n"/>
      <c r="C154" s="7" t="n"/>
      <c r="D154" s="6" t="n"/>
      <c r="E154" s="6" t="n"/>
      <c r="F154" s="5">
        <f>IF(A154="","",IF(DAY(A154)&lt;=IF(E154="iO",25,10),DATE(YEAR(A154),MONTH(A154),IF(E154="iO",25,10)),DATE(YEAR(A154),MONTH(A154)+1,IF(E154="iO",25,10))))</f>
        <v/>
      </c>
      <c r="G154" s="5">
        <f>IF(F154="","",DATE(YEAR(F154),MONTH(F154)+1,IF(E154="iO",12,5)))</f>
        <v/>
      </c>
      <c r="H154" s="6" t="n"/>
      <c r="I154" s="6" t="n"/>
      <c r="J154" s="7">
        <f>IF(C154="","",IF(D154="Dólares",C154*Segmentos!$B$4,C154))</f>
        <v/>
      </c>
    </row>
    <row r="155">
      <c r="A155" s="5" t="n"/>
      <c r="B155" s="6" t="n"/>
      <c r="C155" s="7" t="n"/>
      <c r="D155" s="6" t="n"/>
      <c r="E155" s="6" t="n"/>
      <c r="F155" s="5">
        <f>IF(A155="","",IF(DAY(A155)&lt;=IF(E155="iO",25,10),DATE(YEAR(A155),MONTH(A155),IF(E155="iO",25,10)),DATE(YEAR(A155),MONTH(A155)+1,IF(E155="iO",25,10))))</f>
        <v/>
      </c>
      <c r="G155" s="5">
        <f>IF(F155="","",DATE(YEAR(F155),MONTH(F155)+1,IF(E155="iO",12,5)))</f>
        <v/>
      </c>
      <c r="H155" s="6" t="n"/>
      <c r="I155" s="6" t="n"/>
      <c r="J155" s="7">
        <f>IF(C155="","",IF(D155="Dólares",C155*Segmentos!$B$4,C155))</f>
        <v/>
      </c>
    </row>
    <row r="156">
      <c r="A156" s="5" t="n"/>
      <c r="B156" s="6" t="n"/>
      <c r="C156" s="7" t="n"/>
      <c r="D156" s="6" t="n"/>
      <c r="E156" s="6" t="n"/>
      <c r="F156" s="5">
        <f>IF(A156="","",IF(DAY(A156)&lt;=IF(E156="iO",25,10),DATE(YEAR(A156),MONTH(A156),IF(E156="iO",25,10)),DATE(YEAR(A156),MONTH(A156)+1,IF(E156="iO",25,10))))</f>
        <v/>
      </c>
      <c r="G156" s="5">
        <f>IF(F156="","",DATE(YEAR(F156),MONTH(F156)+1,IF(E156="iO",12,5)))</f>
        <v/>
      </c>
      <c r="H156" s="6" t="n"/>
      <c r="I156" s="6" t="n"/>
      <c r="J156" s="7">
        <f>IF(C156="","",IF(D156="Dólares",C156*Segmentos!$B$4,C156))</f>
        <v/>
      </c>
    </row>
    <row r="157">
      <c r="A157" s="5" t="n"/>
      <c r="B157" s="6" t="n"/>
      <c r="C157" s="7" t="n"/>
      <c r="D157" s="6" t="n"/>
      <c r="E157" s="6" t="n"/>
      <c r="F157" s="5">
        <f>IF(A157="","",IF(DAY(A157)&lt;=IF(E157="iO",25,10),DATE(YEAR(A157),MONTH(A157),IF(E157="iO",25,10)),DATE(YEAR(A157),MONTH(A157)+1,IF(E157="iO",25,10))))</f>
        <v/>
      </c>
      <c r="G157" s="5">
        <f>IF(F157="","",DATE(YEAR(F157),MONTH(F157)+1,IF(E157="iO",12,5)))</f>
        <v/>
      </c>
      <c r="H157" s="6" t="n"/>
      <c r="I157" s="6" t="n"/>
      <c r="J157" s="7">
        <f>IF(C157="","",IF(D157="Dólares",C157*Segmentos!$B$4,C157))</f>
        <v/>
      </c>
    </row>
    <row r="158">
      <c r="A158" s="5" t="n"/>
      <c r="B158" s="6" t="n"/>
      <c r="C158" s="7" t="n"/>
      <c r="D158" s="6" t="n"/>
      <c r="E158" s="6" t="n"/>
      <c r="F158" s="5">
        <f>IF(A158="","",IF(DAY(A158)&lt;=IF(E158="iO",25,10),DATE(YEAR(A158),MONTH(A158),IF(E158="iO",25,10)),DATE(YEAR(A158),MONTH(A158)+1,IF(E158="iO",25,10))))</f>
        <v/>
      </c>
      <c r="G158" s="5">
        <f>IF(F158="","",DATE(YEAR(F158),MONTH(F158)+1,IF(E158="iO",12,5)))</f>
        <v/>
      </c>
      <c r="H158" s="6" t="n"/>
      <c r="I158" s="6" t="n"/>
      <c r="J158" s="7">
        <f>IF(C158="","",IF(D158="Dólares",C158*Segmentos!$B$4,C158))</f>
        <v/>
      </c>
    </row>
    <row r="159">
      <c r="A159" s="5" t="n"/>
      <c r="B159" s="6" t="n"/>
      <c r="C159" s="7" t="n"/>
      <c r="D159" s="6" t="n"/>
      <c r="E159" s="6" t="n"/>
      <c r="F159" s="5">
        <f>IF(A159="","",IF(DAY(A159)&lt;=IF(E159="iO",25,10),DATE(YEAR(A159),MONTH(A159),IF(E159="iO",25,10)),DATE(YEAR(A159),MONTH(A159)+1,IF(E159="iO",25,10))))</f>
        <v/>
      </c>
      <c r="G159" s="5">
        <f>IF(F159="","",DATE(YEAR(F159),MONTH(F159)+1,IF(E159="iO",12,5)))</f>
        <v/>
      </c>
      <c r="H159" s="6" t="n"/>
      <c r="I159" s="6" t="n"/>
      <c r="J159" s="7">
        <f>IF(C159="","",IF(D159="Dólares",C159*Segmentos!$B$4,C159))</f>
        <v/>
      </c>
    </row>
    <row r="160">
      <c r="A160" s="5" t="n"/>
      <c r="B160" s="6" t="n"/>
      <c r="C160" s="7" t="n"/>
      <c r="D160" s="6" t="n"/>
      <c r="E160" s="6" t="n"/>
      <c r="F160" s="5">
        <f>IF(A160="","",IF(DAY(A160)&lt;=IF(E160="iO",25,10),DATE(YEAR(A160),MONTH(A160),IF(E160="iO",25,10)),DATE(YEAR(A160),MONTH(A160)+1,IF(E160="iO",25,10))))</f>
        <v/>
      </c>
      <c r="G160" s="5">
        <f>IF(F160="","",DATE(YEAR(F160),MONTH(F160)+1,IF(E160="iO",12,5)))</f>
        <v/>
      </c>
      <c r="H160" s="6" t="n"/>
      <c r="I160" s="6" t="n"/>
      <c r="J160" s="7">
        <f>IF(C160="","",IF(D160="Dólares",C160*Segmentos!$B$4,C160))</f>
        <v/>
      </c>
    </row>
    <row r="161">
      <c r="A161" s="5" t="n"/>
      <c r="B161" s="6" t="n"/>
      <c r="C161" s="7" t="n"/>
      <c r="D161" s="6" t="n"/>
      <c r="E161" s="6" t="n"/>
      <c r="F161" s="5">
        <f>IF(A161="","",IF(DAY(A161)&lt;=IF(E161="iO",25,10),DATE(YEAR(A161),MONTH(A161),IF(E161="iO",25,10)),DATE(YEAR(A161),MONTH(A161)+1,IF(E161="iO",25,10))))</f>
        <v/>
      </c>
      <c r="G161" s="5">
        <f>IF(F161="","",DATE(YEAR(F161),MONTH(F161)+1,IF(E161="iO",12,5)))</f>
        <v/>
      </c>
      <c r="H161" s="6" t="n"/>
      <c r="I161" s="6" t="n"/>
      <c r="J161" s="7">
        <f>IF(C161="","",IF(D161="Dólares",C161*Segmentos!$B$4,C161))</f>
        <v/>
      </c>
    </row>
    <row r="162">
      <c r="A162" s="5" t="n"/>
      <c r="B162" s="6" t="n"/>
      <c r="C162" s="7" t="n"/>
      <c r="D162" s="6" t="n"/>
      <c r="E162" s="6" t="n"/>
      <c r="F162" s="5">
        <f>IF(A162="","",IF(DAY(A162)&lt;=IF(E162="iO",25,10),DATE(YEAR(A162),MONTH(A162),IF(E162="iO",25,10)),DATE(YEAR(A162),MONTH(A162)+1,IF(E162="iO",25,10))))</f>
        <v/>
      </c>
      <c r="G162" s="5">
        <f>IF(F162="","",DATE(YEAR(F162),MONTH(F162)+1,IF(E162="iO",12,5)))</f>
        <v/>
      </c>
      <c r="H162" s="6" t="n"/>
      <c r="I162" s="6" t="n"/>
      <c r="J162" s="7">
        <f>IF(C162="","",IF(D162="Dólares",C162*Segmentos!$B$4,C162))</f>
        <v/>
      </c>
    </row>
    <row r="163">
      <c r="A163" s="5" t="n"/>
      <c r="B163" s="6" t="n"/>
      <c r="C163" s="7" t="n"/>
      <c r="D163" s="6" t="n"/>
      <c r="E163" s="6" t="n"/>
      <c r="F163" s="5">
        <f>IF(A163="","",IF(DAY(A163)&lt;=IF(E163="iO",25,10),DATE(YEAR(A163),MONTH(A163),IF(E163="iO",25,10)),DATE(YEAR(A163),MONTH(A163)+1,IF(E163="iO",25,10))))</f>
        <v/>
      </c>
      <c r="G163" s="5">
        <f>IF(F163="","",DATE(YEAR(F163),MONTH(F163)+1,IF(E163="iO",12,5)))</f>
        <v/>
      </c>
      <c r="H163" s="6" t="n"/>
      <c r="I163" s="6" t="n"/>
      <c r="J163" s="7">
        <f>IF(C163="","",IF(D163="Dólares",C163*Segmentos!$B$4,C163))</f>
        <v/>
      </c>
    </row>
    <row r="164">
      <c r="A164" s="5" t="n"/>
      <c r="B164" s="6" t="n"/>
      <c r="C164" s="7" t="n"/>
      <c r="D164" s="6" t="n"/>
      <c r="E164" s="6" t="n"/>
      <c r="F164" s="5">
        <f>IF(A164="","",IF(DAY(A164)&lt;=IF(E164="iO",25,10),DATE(YEAR(A164),MONTH(A164),IF(E164="iO",25,10)),DATE(YEAR(A164),MONTH(A164)+1,IF(E164="iO",25,10))))</f>
        <v/>
      </c>
      <c r="G164" s="5">
        <f>IF(F164="","",DATE(YEAR(F164),MONTH(F164)+1,IF(E164="iO",12,5)))</f>
        <v/>
      </c>
      <c r="H164" s="6" t="n"/>
      <c r="I164" s="6" t="n"/>
      <c r="J164" s="7">
        <f>IF(C164="","",IF(D164="Dólares",C164*Segmentos!$B$4,C164))</f>
        <v/>
      </c>
    </row>
    <row r="165">
      <c r="A165" s="5" t="n"/>
      <c r="B165" s="6" t="n"/>
      <c r="C165" s="7" t="n"/>
      <c r="D165" s="6" t="n"/>
      <c r="E165" s="6" t="n"/>
      <c r="F165" s="5">
        <f>IF(A165="","",IF(DAY(A165)&lt;=IF(E165="iO",25,10),DATE(YEAR(A165),MONTH(A165),IF(E165="iO",25,10)),DATE(YEAR(A165),MONTH(A165)+1,IF(E165="iO",25,10))))</f>
        <v/>
      </c>
      <c r="G165" s="5">
        <f>IF(F165="","",DATE(YEAR(F165),MONTH(F165)+1,IF(E165="iO",12,5)))</f>
        <v/>
      </c>
      <c r="H165" s="6" t="n"/>
      <c r="I165" s="6" t="n"/>
      <c r="J165" s="7">
        <f>IF(C165="","",IF(D165="Dólares",C165*Segmentos!$B$4,C165))</f>
        <v/>
      </c>
    </row>
    <row r="166">
      <c r="A166" s="5" t="n"/>
      <c r="B166" s="6" t="n"/>
      <c r="C166" s="7" t="n"/>
      <c r="D166" s="6" t="n"/>
      <c r="E166" s="6" t="n"/>
      <c r="F166" s="5">
        <f>IF(A166="","",IF(DAY(A166)&lt;=IF(E166="iO",25,10),DATE(YEAR(A166),MONTH(A166),IF(E166="iO",25,10)),DATE(YEAR(A166),MONTH(A166)+1,IF(E166="iO",25,10))))</f>
        <v/>
      </c>
      <c r="G166" s="5">
        <f>IF(F166="","",DATE(YEAR(F166),MONTH(F166)+1,IF(E166="iO",12,5)))</f>
        <v/>
      </c>
      <c r="H166" s="6" t="n"/>
      <c r="I166" s="6" t="n"/>
      <c r="J166" s="7">
        <f>IF(C166="","",IF(D166="Dólares",C166*Segmentos!$B$4,C166))</f>
        <v/>
      </c>
    </row>
    <row r="167">
      <c r="A167" s="5" t="n"/>
      <c r="B167" s="6" t="n"/>
      <c r="C167" s="7" t="n"/>
      <c r="D167" s="6" t="n"/>
      <c r="E167" s="6" t="n"/>
      <c r="F167" s="5">
        <f>IF(A167="","",IF(DAY(A167)&lt;=IF(E167="iO",25,10),DATE(YEAR(A167),MONTH(A167),IF(E167="iO",25,10)),DATE(YEAR(A167),MONTH(A167)+1,IF(E167="iO",25,10))))</f>
        <v/>
      </c>
      <c r="G167" s="5">
        <f>IF(F167="","",DATE(YEAR(F167),MONTH(F167)+1,IF(E167="iO",12,5)))</f>
        <v/>
      </c>
      <c r="H167" s="6" t="n"/>
      <c r="I167" s="6" t="n"/>
      <c r="J167" s="7">
        <f>IF(C167="","",IF(D167="Dólares",C167*Segmentos!$B$4,C167))</f>
        <v/>
      </c>
    </row>
    <row r="168">
      <c r="A168" s="5" t="n"/>
      <c r="B168" s="6" t="n"/>
      <c r="C168" s="7" t="n"/>
      <c r="D168" s="6" t="n"/>
      <c r="E168" s="6" t="n"/>
      <c r="F168" s="5">
        <f>IF(A168="","",IF(DAY(A168)&lt;=IF(E168="iO",25,10),DATE(YEAR(A168),MONTH(A168),IF(E168="iO",25,10)),DATE(YEAR(A168),MONTH(A168)+1,IF(E168="iO",25,10))))</f>
        <v/>
      </c>
      <c r="G168" s="5">
        <f>IF(F168="","",DATE(YEAR(F168),MONTH(F168)+1,IF(E168="iO",12,5)))</f>
        <v/>
      </c>
      <c r="H168" s="6" t="n"/>
      <c r="I168" s="6" t="n"/>
      <c r="J168" s="7">
        <f>IF(C168="","",IF(D168="Dólares",C168*Segmentos!$B$4,C168))</f>
        <v/>
      </c>
    </row>
    <row r="169">
      <c r="A169" s="5" t="n"/>
      <c r="B169" s="6" t="n"/>
      <c r="C169" s="7" t="n"/>
      <c r="D169" s="6" t="n"/>
      <c r="E169" s="6" t="n"/>
      <c r="F169" s="5">
        <f>IF(A169="","",IF(DAY(A169)&lt;=IF(E169="iO",25,10),DATE(YEAR(A169),MONTH(A169),IF(E169="iO",25,10)),DATE(YEAR(A169),MONTH(A169)+1,IF(E169="iO",25,10))))</f>
        <v/>
      </c>
      <c r="G169" s="5">
        <f>IF(F169="","",DATE(YEAR(F169),MONTH(F169)+1,IF(E169="iO",12,5)))</f>
        <v/>
      </c>
      <c r="H169" s="6" t="n"/>
      <c r="I169" s="6" t="n"/>
      <c r="J169" s="7">
        <f>IF(C169="","",IF(D169="Dólares",C169*Segmentos!$B$4,C169))</f>
        <v/>
      </c>
    </row>
    <row r="170">
      <c r="A170" s="5" t="n"/>
      <c r="B170" s="6" t="n"/>
      <c r="C170" s="7" t="n"/>
      <c r="D170" s="6" t="n"/>
      <c r="E170" s="6" t="n"/>
      <c r="F170" s="5">
        <f>IF(A170="","",IF(DAY(A170)&lt;=IF(E170="iO",25,10),DATE(YEAR(A170),MONTH(A170),IF(E170="iO",25,10)),DATE(YEAR(A170),MONTH(A170)+1,IF(E170="iO",25,10))))</f>
        <v/>
      </c>
      <c r="G170" s="5">
        <f>IF(F170="","",DATE(YEAR(F170),MONTH(F170)+1,IF(E170="iO",12,5)))</f>
        <v/>
      </c>
      <c r="H170" s="6" t="n"/>
      <c r="I170" s="6" t="n"/>
      <c r="J170" s="7">
        <f>IF(C170="","",IF(D170="Dólares",C170*Segmentos!$B$4,C170))</f>
        <v/>
      </c>
    </row>
    <row r="171">
      <c r="A171" s="5" t="n"/>
      <c r="B171" s="6" t="n"/>
      <c r="C171" s="7" t="n"/>
      <c r="D171" s="6" t="n"/>
      <c r="E171" s="6" t="n"/>
      <c r="F171" s="5">
        <f>IF(A171="","",IF(DAY(A171)&lt;=IF(E171="iO",25,10),DATE(YEAR(A171),MONTH(A171),IF(E171="iO",25,10)),DATE(YEAR(A171),MONTH(A171)+1,IF(E171="iO",25,10))))</f>
        <v/>
      </c>
      <c r="G171" s="5">
        <f>IF(F171="","",DATE(YEAR(F171),MONTH(F171)+1,IF(E171="iO",12,5)))</f>
        <v/>
      </c>
      <c r="H171" s="6" t="n"/>
      <c r="I171" s="6" t="n"/>
      <c r="J171" s="7">
        <f>IF(C171="","",IF(D171="Dólares",C171*Segmentos!$B$4,C171))</f>
        <v/>
      </c>
    </row>
    <row r="172">
      <c r="A172" s="5" t="n"/>
      <c r="B172" s="6" t="n"/>
      <c r="C172" s="7" t="n"/>
      <c r="D172" s="6" t="n"/>
      <c r="E172" s="6" t="n"/>
      <c r="F172" s="5">
        <f>IF(A172="","",IF(DAY(A172)&lt;=IF(E172="iO",25,10),DATE(YEAR(A172),MONTH(A172),IF(E172="iO",25,10)),DATE(YEAR(A172),MONTH(A172)+1,IF(E172="iO",25,10))))</f>
        <v/>
      </c>
      <c r="G172" s="5">
        <f>IF(F172="","",DATE(YEAR(F172),MONTH(F172)+1,IF(E172="iO",12,5)))</f>
        <v/>
      </c>
      <c r="H172" s="6" t="n"/>
      <c r="I172" s="6" t="n"/>
      <c r="J172" s="7">
        <f>IF(C172="","",IF(D172="Dólares",C172*Segmentos!$B$4,C172))</f>
        <v/>
      </c>
    </row>
    <row r="173">
      <c r="A173" s="5" t="n"/>
      <c r="B173" s="6" t="n"/>
      <c r="C173" s="7" t="n"/>
      <c r="D173" s="6" t="n"/>
      <c r="E173" s="6" t="n"/>
      <c r="F173" s="5">
        <f>IF(A173="","",IF(DAY(A173)&lt;=IF(E173="iO",25,10),DATE(YEAR(A173),MONTH(A173),IF(E173="iO",25,10)),DATE(YEAR(A173),MONTH(A173)+1,IF(E173="iO",25,10))))</f>
        <v/>
      </c>
      <c r="G173" s="5">
        <f>IF(F173="","",DATE(YEAR(F173),MONTH(F173)+1,IF(E173="iO",12,5)))</f>
        <v/>
      </c>
      <c r="H173" s="6" t="n"/>
      <c r="I173" s="6" t="n"/>
      <c r="J173" s="7">
        <f>IF(C173="","",IF(D173="Dólares",C173*Segmentos!$B$4,C173))</f>
        <v/>
      </c>
    </row>
    <row r="174">
      <c r="A174" s="5" t="n"/>
      <c r="B174" s="6" t="n"/>
      <c r="C174" s="7" t="n"/>
      <c r="D174" s="6" t="n"/>
      <c r="E174" s="6" t="n"/>
      <c r="F174" s="5">
        <f>IF(A174="","",IF(DAY(A174)&lt;=IF(E174="iO",25,10),DATE(YEAR(A174),MONTH(A174),IF(E174="iO",25,10)),DATE(YEAR(A174),MONTH(A174)+1,IF(E174="iO",25,10))))</f>
        <v/>
      </c>
      <c r="G174" s="5">
        <f>IF(F174="","",DATE(YEAR(F174),MONTH(F174)+1,IF(E174="iO",12,5)))</f>
        <v/>
      </c>
      <c r="H174" s="6" t="n"/>
      <c r="I174" s="6" t="n"/>
      <c r="J174" s="7">
        <f>IF(C174="","",IF(D174="Dólares",C174*Segmentos!$B$4,C174))</f>
        <v/>
      </c>
    </row>
    <row r="175">
      <c r="A175" s="5" t="n"/>
      <c r="B175" s="6" t="n"/>
      <c r="C175" s="7" t="n"/>
      <c r="D175" s="6" t="n"/>
      <c r="E175" s="6" t="n"/>
      <c r="F175" s="5">
        <f>IF(A175="","",IF(DAY(A175)&lt;=IF(E175="iO",25,10),DATE(YEAR(A175),MONTH(A175),IF(E175="iO",25,10)),DATE(YEAR(A175),MONTH(A175)+1,IF(E175="iO",25,10))))</f>
        <v/>
      </c>
      <c r="G175" s="5">
        <f>IF(F175="","",DATE(YEAR(F175),MONTH(F175)+1,IF(E175="iO",12,5)))</f>
        <v/>
      </c>
      <c r="H175" s="6" t="n"/>
      <c r="I175" s="6" t="n"/>
      <c r="J175" s="7">
        <f>IF(C175="","",IF(D175="Dólares",C175*Segmentos!$B$4,C175))</f>
        <v/>
      </c>
    </row>
    <row r="176">
      <c r="A176" s="5" t="n"/>
      <c r="B176" s="6" t="n"/>
      <c r="C176" s="7" t="n"/>
      <c r="D176" s="6" t="n"/>
      <c r="E176" s="6" t="n"/>
      <c r="F176" s="5">
        <f>IF(A176="","",IF(DAY(A176)&lt;=IF(E176="iO",25,10),DATE(YEAR(A176),MONTH(A176),IF(E176="iO",25,10)),DATE(YEAR(A176),MONTH(A176)+1,IF(E176="iO",25,10))))</f>
        <v/>
      </c>
      <c r="G176" s="5">
        <f>IF(F176="","",DATE(YEAR(F176),MONTH(F176)+1,IF(E176="iO",12,5)))</f>
        <v/>
      </c>
      <c r="H176" s="6" t="n"/>
      <c r="I176" s="6" t="n"/>
      <c r="J176" s="7">
        <f>IF(C176="","",IF(D176="Dólares",C176*Segmentos!$B$4,C176))</f>
        <v/>
      </c>
    </row>
    <row r="177">
      <c r="A177" s="5" t="n"/>
      <c r="B177" s="6" t="n"/>
      <c r="C177" s="7" t="n"/>
      <c r="D177" s="6" t="n"/>
      <c r="E177" s="6" t="n"/>
      <c r="F177" s="5">
        <f>IF(A177="","",IF(DAY(A177)&lt;=IF(E177="iO",25,10),DATE(YEAR(A177),MONTH(A177),IF(E177="iO",25,10)),DATE(YEAR(A177),MONTH(A177)+1,IF(E177="iO",25,10))))</f>
        <v/>
      </c>
      <c r="G177" s="5">
        <f>IF(F177="","",DATE(YEAR(F177),MONTH(F177)+1,IF(E177="iO",12,5)))</f>
        <v/>
      </c>
      <c r="H177" s="6" t="n"/>
      <c r="I177" s="6" t="n"/>
      <c r="J177" s="7">
        <f>IF(C177="","",IF(D177="Dólares",C177*Segmentos!$B$4,C177))</f>
        <v/>
      </c>
    </row>
    <row r="178">
      <c r="A178" s="5" t="n"/>
      <c r="B178" s="6" t="n"/>
      <c r="C178" s="7" t="n"/>
      <c r="D178" s="6" t="n"/>
      <c r="E178" s="6" t="n"/>
      <c r="F178" s="5">
        <f>IF(A178="","",IF(DAY(A178)&lt;=IF(E178="iO",25,10),DATE(YEAR(A178),MONTH(A178),IF(E178="iO",25,10)),DATE(YEAR(A178),MONTH(A178)+1,IF(E178="iO",25,10))))</f>
        <v/>
      </c>
      <c r="G178" s="5">
        <f>IF(F178="","",DATE(YEAR(F178),MONTH(F178)+1,IF(E178="iO",12,5)))</f>
        <v/>
      </c>
      <c r="H178" s="6" t="n"/>
      <c r="I178" s="6" t="n"/>
      <c r="J178" s="7">
        <f>IF(C178="","",IF(D178="Dólares",C178*Segmentos!$B$4,C178))</f>
        <v/>
      </c>
    </row>
    <row r="179">
      <c r="A179" s="5" t="n"/>
      <c r="B179" s="6" t="n"/>
      <c r="C179" s="7" t="n"/>
      <c r="D179" s="6" t="n"/>
      <c r="E179" s="6" t="n"/>
      <c r="F179" s="5">
        <f>IF(A179="","",IF(DAY(A179)&lt;=IF(E179="iO",25,10),DATE(YEAR(A179),MONTH(A179),IF(E179="iO",25,10)),DATE(YEAR(A179),MONTH(A179)+1,IF(E179="iO",25,10))))</f>
        <v/>
      </c>
      <c r="G179" s="5">
        <f>IF(F179="","",DATE(YEAR(F179),MONTH(F179)+1,IF(E179="iO",12,5)))</f>
        <v/>
      </c>
      <c r="H179" s="6" t="n"/>
      <c r="I179" s="6" t="n"/>
      <c r="J179" s="7">
        <f>IF(C179="","",IF(D179="Dólares",C179*Segmentos!$B$4,C179))</f>
        <v/>
      </c>
    </row>
    <row r="180">
      <c r="A180" s="5" t="n"/>
      <c r="B180" s="6" t="n"/>
      <c r="C180" s="7" t="n"/>
      <c r="D180" s="6" t="n"/>
      <c r="E180" s="6" t="n"/>
      <c r="F180" s="5">
        <f>IF(A180="","",IF(DAY(A180)&lt;=IF(E180="iO",25,10),DATE(YEAR(A180),MONTH(A180),IF(E180="iO",25,10)),DATE(YEAR(A180),MONTH(A180)+1,IF(E180="iO",25,10))))</f>
        <v/>
      </c>
      <c r="G180" s="5">
        <f>IF(F180="","",DATE(YEAR(F180),MONTH(F180)+1,IF(E180="iO",12,5)))</f>
        <v/>
      </c>
      <c r="H180" s="6" t="n"/>
      <c r="I180" s="6" t="n"/>
      <c r="J180" s="7">
        <f>IF(C180="","",IF(D180="Dólares",C180*Segmentos!$B$4,C180))</f>
        <v/>
      </c>
    </row>
    <row r="181">
      <c r="A181" s="5" t="n"/>
      <c r="B181" s="6" t="n"/>
      <c r="C181" s="7" t="n"/>
      <c r="D181" s="6" t="n"/>
      <c r="E181" s="6" t="n"/>
      <c r="F181" s="5">
        <f>IF(A181="","",IF(DAY(A181)&lt;=IF(E181="iO",25,10),DATE(YEAR(A181),MONTH(A181),IF(E181="iO",25,10)),DATE(YEAR(A181),MONTH(A181)+1,IF(E181="iO",25,10))))</f>
        <v/>
      </c>
      <c r="G181" s="5">
        <f>IF(F181="","",DATE(YEAR(F181),MONTH(F181)+1,IF(E181="iO",12,5)))</f>
        <v/>
      </c>
      <c r="H181" s="6" t="n"/>
      <c r="I181" s="6" t="n"/>
      <c r="J181" s="7">
        <f>IF(C181="","",IF(D181="Dólares",C181*Segmentos!$B$4,C181))</f>
        <v/>
      </c>
    </row>
    <row r="182">
      <c r="A182" s="5" t="n"/>
      <c r="B182" s="6" t="n"/>
      <c r="C182" s="7" t="n"/>
      <c r="D182" s="6" t="n"/>
      <c r="E182" s="6" t="n"/>
      <c r="F182" s="5">
        <f>IF(A182="","",IF(DAY(A182)&lt;=IF(E182="iO",25,10),DATE(YEAR(A182),MONTH(A182),IF(E182="iO",25,10)),DATE(YEAR(A182),MONTH(A182)+1,IF(E182="iO",25,10))))</f>
        <v/>
      </c>
      <c r="G182" s="5">
        <f>IF(F182="","",DATE(YEAR(F182),MONTH(F182)+1,IF(E182="iO",12,5)))</f>
        <v/>
      </c>
      <c r="H182" s="6" t="n"/>
      <c r="I182" s="6" t="n"/>
      <c r="J182" s="7">
        <f>IF(C182="","",IF(D182="Dólares",C182*Segmentos!$B$4,C182))</f>
        <v/>
      </c>
    </row>
    <row r="183">
      <c r="A183" s="5" t="n"/>
      <c r="B183" s="6" t="n"/>
      <c r="C183" s="7" t="n"/>
      <c r="D183" s="6" t="n"/>
      <c r="E183" s="6" t="n"/>
      <c r="F183" s="5">
        <f>IF(A183="","",IF(DAY(A183)&lt;=IF(E183="iO",25,10),DATE(YEAR(A183),MONTH(A183),IF(E183="iO",25,10)),DATE(YEAR(A183),MONTH(A183)+1,IF(E183="iO",25,10))))</f>
        <v/>
      </c>
      <c r="G183" s="5">
        <f>IF(F183="","",DATE(YEAR(F183),MONTH(F183)+1,IF(E183="iO",12,5)))</f>
        <v/>
      </c>
      <c r="H183" s="6" t="n"/>
      <c r="I183" s="6" t="n"/>
      <c r="J183" s="7">
        <f>IF(C183="","",IF(D183="Dólares",C183*Segmentos!$B$4,C183))</f>
        <v/>
      </c>
    </row>
    <row r="184">
      <c r="A184" s="5" t="n"/>
      <c r="B184" s="6" t="n"/>
      <c r="C184" s="7" t="n"/>
      <c r="D184" s="6" t="n"/>
      <c r="E184" s="6" t="n"/>
      <c r="F184" s="5">
        <f>IF(A184="","",IF(DAY(A184)&lt;=IF(E184="iO",25,10),DATE(YEAR(A184),MONTH(A184),IF(E184="iO",25,10)),DATE(YEAR(A184),MONTH(A184)+1,IF(E184="iO",25,10))))</f>
        <v/>
      </c>
      <c r="G184" s="5">
        <f>IF(F184="","",DATE(YEAR(F184),MONTH(F184)+1,IF(E184="iO",12,5)))</f>
        <v/>
      </c>
      <c r="H184" s="6" t="n"/>
      <c r="I184" s="6" t="n"/>
      <c r="J184" s="7">
        <f>IF(C184="","",IF(D184="Dólares",C184*Segmentos!$B$4,C184))</f>
        <v/>
      </c>
    </row>
    <row r="185">
      <c r="A185" s="5" t="n"/>
      <c r="B185" s="6" t="n"/>
      <c r="C185" s="7" t="n"/>
      <c r="D185" s="6" t="n"/>
      <c r="E185" s="6" t="n"/>
      <c r="F185" s="5">
        <f>IF(A185="","",IF(DAY(A185)&lt;=IF(E185="iO",25,10),DATE(YEAR(A185),MONTH(A185),IF(E185="iO",25,10)),DATE(YEAR(A185),MONTH(A185)+1,IF(E185="iO",25,10))))</f>
        <v/>
      </c>
      <c r="G185" s="5">
        <f>IF(F185="","",DATE(YEAR(F185),MONTH(F185)+1,IF(E185="iO",12,5)))</f>
        <v/>
      </c>
      <c r="H185" s="6" t="n"/>
      <c r="I185" s="6" t="n"/>
      <c r="J185" s="7">
        <f>IF(C185="","",IF(D185="Dólares",C185*Segmentos!$B$4,C185))</f>
        <v/>
      </c>
    </row>
    <row r="186">
      <c r="A186" s="5" t="n"/>
      <c r="B186" s="6" t="n"/>
      <c r="C186" s="7" t="n"/>
      <c r="D186" s="6" t="n"/>
      <c r="E186" s="6" t="n"/>
      <c r="F186" s="5">
        <f>IF(A186="","",IF(DAY(A186)&lt;=IF(E186="iO",25,10),DATE(YEAR(A186),MONTH(A186),IF(E186="iO",25,10)),DATE(YEAR(A186),MONTH(A186)+1,IF(E186="iO",25,10))))</f>
        <v/>
      </c>
      <c r="G186" s="5">
        <f>IF(F186="","",DATE(YEAR(F186),MONTH(F186)+1,IF(E186="iO",12,5)))</f>
        <v/>
      </c>
      <c r="H186" s="6" t="n"/>
      <c r="I186" s="6" t="n"/>
      <c r="J186" s="7">
        <f>IF(C186="","",IF(D186="Dólares",C186*Segmentos!$B$4,C186))</f>
        <v/>
      </c>
    </row>
    <row r="187">
      <c r="A187" s="5" t="n"/>
      <c r="B187" s="6" t="n"/>
      <c r="C187" s="7" t="n"/>
      <c r="D187" s="6" t="n"/>
      <c r="E187" s="6" t="n"/>
      <c r="F187" s="5">
        <f>IF(A187="","",IF(DAY(A187)&lt;=IF(E187="iO",25,10),DATE(YEAR(A187),MONTH(A187),IF(E187="iO",25,10)),DATE(YEAR(A187),MONTH(A187)+1,IF(E187="iO",25,10))))</f>
        <v/>
      </c>
      <c r="G187" s="5">
        <f>IF(F187="","",DATE(YEAR(F187),MONTH(F187)+1,IF(E187="iO",12,5)))</f>
        <v/>
      </c>
      <c r="H187" s="6" t="n"/>
      <c r="I187" s="6" t="n"/>
      <c r="J187" s="7">
        <f>IF(C187="","",IF(D187="Dólares",C187*Segmentos!$B$4,C187))</f>
        <v/>
      </c>
    </row>
    <row r="188">
      <c r="A188" s="5" t="n"/>
      <c r="B188" s="6" t="n"/>
      <c r="C188" s="7" t="n"/>
      <c r="D188" s="6" t="n"/>
      <c r="E188" s="6" t="n"/>
      <c r="F188" s="5">
        <f>IF(A188="","",IF(DAY(A188)&lt;=IF(E188="iO",25,10),DATE(YEAR(A188),MONTH(A188),IF(E188="iO",25,10)),DATE(YEAR(A188),MONTH(A188)+1,IF(E188="iO",25,10))))</f>
        <v/>
      </c>
      <c r="G188" s="5">
        <f>IF(F188="","",DATE(YEAR(F188),MONTH(F188)+1,IF(E188="iO",12,5)))</f>
        <v/>
      </c>
      <c r="H188" s="6" t="n"/>
      <c r="I188" s="6" t="n"/>
      <c r="J188" s="7">
        <f>IF(C188="","",IF(D188="Dólares",C188*Segmentos!$B$4,C188))</f>
        <v/>
      </c>
    </row>
    <row r="189">
      <c r="A189" s="5" t="n"/>
      <c r="B189" s="6" t="n"/>
      <c r="C189" s="7" t="n"/>
      <c r="D189" s="6" t="n"/>
      <c r="E189" s="6" t="n"/>
      <c r="F189" s="5">
        <f>IF(A189="","",IF(DAY(A189)&lt;=IF(E189="iO",25,10),DATE(YEAR(A189),MONTH(A189),IF(E189="iO",25,10)),DATE(YEAR(A189),MONTH(A189)+1,IF(E189="iO",25,10))))</f>
        <v/>
      </c>
      <c r="G189" s="5">
        <f>IF(F189="","",DATE(YEAR(F189),MONTH(F189)+1,IF(E189="iO",12,5)))</f>
        <v/>
      </c>
      <c r="H189" s="6" t="n"/>
      <c r="I189" s="6" t="n"/>
      <c r="J189" s="7">
        <f>IF(C189="","",IF(D189="Dólares",C189*Segmentos!$B$4,C189))</f>
        <v/>
      </c>
    </row>
    <row r="190">
      <c r="A190" s="5" t="n"/>
      <c r="B190" s="6" t="n"/>
      <c r="C190" s="7" t="n"/>
      <c r="D190" s="6" t="n"/>
      <c r="E190" s="6" t="n"/>
      <c r="F190" s="5">
        <f>IF(A190="","",IF(DAY(A190)&lt;=IF(E190="iO",25,10),DATE(YEAR(A190),MONTH(A190),IF(E190="iO",25,10)),DATE(YEAR(A190),MONTH(A190)+1,IF(E190="iO",25,10))))</f>
        <v/>
      </c>
      <c r="G190" s="5">
        <f>IF(F190="","",DATE(YEAR(F190),MONTH(F190)+1,IF(E190="iO",12,5)))</f>
        <v/>
      </c>
      <c r="H190" s="6" t="n"/>
      <c r="I190" s="6" t="n"/>
      <c r="J190" s="7">
        <f>IF(C190="","",IF(D190="Dólares",C190*Segmentos!$B$4,C190))</f>
        <v/>
      </c>
    </row>
    <row r="191">
      <c r="A191" s="5" t="n"/>
      <c r="B191" s="6" t="n"/>
      <c r="C191" s="7" t="n"/>
      <c r="D191" s="6" t="n"/>
      <c r="E191" s="6" t="n"/>
      <c r="F191" s="5">
        <f>IF(A191="","",IF(DAY(A191)&lt;=IF(E191="iO",25,10),DATE(YEAR(A191),MONTH(A191),IF(E191="iO",25,10)),DATE(YEAR(A191),MONTH(A191)+1,IF(E191="iO",25,10))))</f>
        <v/>
      </c>
      <c r="G191" s="5">
        <f>IF(F191="","",DATE(YEAR(F191),MONTH(F191)+1,IF(E191="iO",12,5)))</f>
        <v/>
      </c>
      <c r="H191" s="6" t="n"/>
      <c r="I191" s="6" t="n"/>
      <c r="J191" s="7">
        <f>IF(C191="","",IF(D191="Dólares",C191*Segmentos!$B$4,C191))</f>
        <v/>
      </c>
    </row>
    <row r="192">
      <c r="A192" s="5" t="n"/>
      <c r="B192" s="6" t="n"/>
      <c r="C192" s="7" t="n"/>
      <c r="D192" s="6" t="n"/>
      <c r="E192" s="6" t="n"/>
      <c r="F192" s="5">
        <f>IF(A192="","",IF(DAY(A192)&lt;=IF(E192="iO",25,10),DATE(YEAR(A192),MONTH(A192),IF(E192="iO",25,10)),DATE(YEAR(A192),MONTH(A192)+1,IF(E192="iO",25,10))))</f>
        <v/>
      </c>
      <c r="G192" s="5">
        <f>IF(F192="","",DATE(YEAR(F192),MONTH(F192)+1,IF(E192="iO",12,5)))</f>
        <v/>
      </c>
      <c r="H192" s="6" t="n"/>
      <c r="I192" s="6" t="n"/>
      <c r="J192" s="7">
        <f>IF(C192="","",IF(D192="Dólares",C192*Segmentos!$B$4,C192))</f>
        <v/>
      </c>
    </row>
    <row r="193">
      <c r="A193" s="5" t="n"/>
      <c r="B193" s="6" t="n"/>
      <c r="C193" s="7" t="n"/>
      <c r="D193" s="6" t="n"/>
      <c r="E193" s="6" t="n"/>
      <c r="F193" s="5">
        <f>IF(A193="","",IF(DAY(A193)&lt;=IF(E193="iO",25,10),DATE(YEAR(A193),MONTH(A193),IF(E193="iO",25,10)),DATE(YEAR(A193),MONTH(A193)+1,IF(E193="iO",25,10))))</f>
        <v/>
      </c>
      <c r="G193" s="5">
        <f>IF(F193="","",DATE(YEAR(F193),MONTH(F193)+1,IF(E193="iO",12,5)))</f>
        <v/>
      </c>
      <c r="H193" s="6" t="n"/>
      <c r="I193" s="6" t="n"/>
      <c r="J193" s="7">
        <f>IF(C193="","",IF(D193="Dólares",C193*Segmentos!$B$4,C193))</f>
        <v/>
      </c>
    </row>
    <row r="194">
      <c r="A194" s="5" t="n"/>
      <c r="B194" s="6" t="n"/>
      <c r="C194" s="7" t="n"/>
      <c r="D194" s="6" t="n"/>
      <c r="E194" s="6" t="n"/>
      <c r="F194" s="5">
        <f>IF(A194="","",IF(DAY(A194)&lt;=IF(E194="iO",25,10),DATE(YEAR(A194),MONTH(A194),IF(E194="iO",25,10)),DATE(YEAR(A194),MONTH(A194)+1,IF(E194="iO",25,10))))</f>
        <v/>
      </c>
      <c r="G194" s="5">
        <f>IF(F194="","",DATE(YEAR(F194),MONTH(F194)+1,IF(E194="iO",12,5)))</f>
        <v/>
      </c>
      <c r="H194" s="6" t="n"/>
      <c r="I194" s="6" t="n"/>
      <c r="J194" s="7">
        <f>IF(C194="","",IF(D194="Dólares",C194*Segmentos!$B$4,C194))</f>
        <v/>
      </c>
    </row>
    <row r="195">
      <c r="A195" s="5" t="n"/>
      <c r="B195" s="6" t="n"/>
      <c r="C195" s="7" t="n"/>
      <c r="D195" s="6" t="n"/>
      <c r="E195" s="6" t="n"/>
      <c r="F195" s="5">
        <f>IF(A195="","",IF(DAY(A195)&lt;=IF(E195="iO",25,10),DATE(YEAR(A195),MONTH(A195),IF(E195="iO",25,10)),DATE(YEAR(A195),MONTH(A195)+1,IF(E195="iO",25,10))))</f>
        <v/>
      </c>
      <c r="G195" s="5">
        <f>IF(F195="","",DATE(YEAR(F195),MONTH(F195)+1,IF(E195="iO",12,5)))</f>
        <v/>
      </c>
      <c r="H195" s="6" t="n"/>
      <c r="I195" s="6" t="n"/>
      <c r="J195" s="7">
        <f>IF(C195="","",IF(D195="Dólares",C195*Segmentos!$B$4,C195))</f>
        <v/>
      </c>
    </row>
    <row r="196">
      <c r="A196" s="5" t="n"/>
      <c r="B196" s="6" t="n"/>
      <c r="C196" s="7" t="n"/>
      <c r="D196" s="6" t="n"/>
      <c r="E196" s="6" t="n"/>
      <c r="F196" s="5">
        <f>IF(A196="","",IF(DAY(A196)&lt;=IF(E196="iO",25,10),DATE(YEAR(A196),MONTH(A196),IF(E196="iO",25,10)),DATE(YEAR(A196),MONTH(A196)+1,IF(E196="iO",25,10))))</f>
        <v/>
      </c>
      <c r="G196" s="5">
        <f>IF(F196="","",DATE(YEAR(F196),MONTH(F196)+1,IF(E196="iO",12,5)))</f>
        <v/>
      </c>
      <c r="H196" s="6" t="n"/>
      <c r="I196" s="6" t="n"/>
      <c r="J196" s="7">
        <f>IF(C196="","",IF(D196="Dólares",C196*Segmentos!$B$4,C196))</f>
        <v/>
      </c>
    </row>
    <row r="197">
      <c r="A197" s="5" t="n"/>
      <c r="B197" s="6" t="n"/>
      <c r="C197" s="7" t="n"/>
      <c r="D197" s="6" t="n"/>
      <c r="E197" s="6" t="n"/>
      <c r="F197" s="5">
        <f>IF(A197="","",IF(DAY(A197)&lt;=IF(E197="iO",25,10),DATE(YEAR(A197),MONTH(A197),IF(E197="iO",25,10)),DATE(YEAR(A197),MONTH(A197)+1,IF(E197="iO",25,10))))</f>
        <v/>
      </c>
      <c r="G197" s="5">
        <f>IF(F197="","",DATE(YEAR(F197),MONTH(F197)+1,IF(E197="iO",12,5)))</f>
        <v/>
      </c>
      <c r="H197" s="6" t="n"/>
      <c r="I197" s="6" t="n"/>
      <c r="J197" s="7">
        <f>IF(C197="","",IF(D197="Dólares",C197*Segmentos!$B$4,C197))</f>
        <v/>
      </c>
    </row>
    <row r="198">
      <c r="A198" s="5" t="n"/>
      <c r="B198" s="6" t="n"/>
      <c r="C198" s="7" t="n"/>
      <c r="D198" s="6" t="n"/>
      <c r="E198" s="6" t="n"/>
      <c r="F198" s="5">
        <f>IF(A198="","",IF(DAY(A198)&lt;=IF(E198="iO",25,10),DATE(YEAR(A198),MONTH(A198),IF(E198="iO",25,10)),DATE(YEAR(A198),MONTH(A198)+1,IF(E198="iO",25,10))))</f>
        <v/>
      </c>
      <c r="G198" s="5">
        <f>IF(F198="","",DATE(YEAR(F198),MONTH(F198)+1,IF(E198="iO",12,5)))</f>
        <v/>
      </c>
      <c r="H198" s="6" t="n"/>
      <c r="I198" s="6" t="n"/>
      <c r="J198" s="7">
        <f>IF(C198="","",IF(D198="Dólares",C198*Segmentos!$B$4,C198))</f>
        <v/>
      </c>
    </row>
    <row r="199">
      <c r="A199" s="5" t="n"/>
      <c r="B199" s="6" t="n"/>
      <c r="C199" s="7" t="n"/>
      <c r="D199" s="6" t="n"/>
      <c r="E199" s="6" t="n"/>
      <c r="F199" s="5">
        <f>IF(A199="","",IF(DAY(A199)&lt;=IF(E199="iO",25,10),DATE(YEAR(A199),MONTH(A199),IF(E199="iO",25,10)),DATE(YEAR(A199),MONTH(A199)+1,IF(E199="iO",25,10))))</f>
        <v/>
      </c>
      <c r="G199" s="5">
        <f>IF(F199="","",DATE(YEAR(F199),MONTH(F199)+1,IF(E199="iO",12,5)))</f>
        <v/>
      </c>
      <c r="H199" s="6" t="n"/>
      <c r="I199" s="6" t="n"/>
      <c r="J199" s="7">
        <f>IF(C199="","",IF(D199="Dólares",C199*Segmentos!$B$4,C199))</f>
        <v/>
      </c>
    </row>
    <row r="200">
      <c r="A200" s="5" t="n"/>
      <c r="B200" s="6" t="n"/>
      <c r="C200" s="7" t="n"/>
      <c r="D200" s="6" t="n"/>
      <c r="E200" s="6" t="n"/>
      <c r="F200" s="5">
        <f>IF(A200="","",IF(DAY(A200)&lt;=IF(E200="iO",25,10),DATE(YEAR(A200),MONTH(A200),IF(E200="iO",25,10)),DATE(YEAR(A200),MONTH(A200)+1,IF(E200="iO",25,10))))</f>
        <v/>
      </c>
      <c r="G200" s="5">
        <f>IF(F200="","",DATE(YEAR(F200),MONTH(F200)+1,IF(E200="iO",12,5)))</f>
        <v/>
      </c>
      <c r="H200" s="6" t="n"/>
      <c r="I200" s="6" t="n"/>
      <c r="J200" s="7">
        <f>IF(C200="","",IF(D200="Dólares",C200*Segmentos!$B$4,C200))</f>
        <v/>
      </c>
    </row>
  </sheetData>
  <dataValidations count="4">
    <dataValidation sqref="E2:E200" showDropDown="0" showInputMessage="0" showErrorMessage="0" allowBlank="1" type="list">
      <formula1>"iO,BBVA,pareja"</formula1>
    </dataValidation>
    <dataValidation sqref="D2:D200" showDropDown="0" showInputMessage="0" showErrorMessage="0" allowBlank="1" type="list">
      <formula1>"Soles,Dólares"</formula1>
    </dataValidation>
    <dataValidation sqref="H2:H200" showDropDown="0" showInputMessage="0" showErrorMessage="0" allowBlank="1" type="list">
      <formula1>"Pendiente,Pagado"</formula1>
    </dataValidation>
    <dataValidation sqref="I2:I200" showDropDown="0" showInputMessage="0" showErrorMessage="0" allowBlank="1" type="list">
      <formula1>"Comida,Transporte,Ropa y compras,Ocio,Suscripciones,Pareja,Otros"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8" t="inlineStr">
        <is>
          <t>Resumen de Gastos por Fecha de Pago</t>
        </is>
      </c>
    </row>
    <row r="3">
      <c r="A3" s="9" t="inlineStr">
        <is>
          <t>Fecha de Pago</t>
        </is>
      </c>
      <c r="B3" s="9" t="inlineStr">
        <is>
          <t>Tarjeta</t>
        </is>
      </c>
      <c r="C3" s="9" t="inlineStr">
        <is>
          <t>Total</t>
        </is>
      </c>
    </row>
    <row r="4">
      <c r="A4" s="10" t="inlineStr">
        <is>
          <t>Ejemplo: usa SUMIFS para sumar Gastos!C:C donde Gastos!G = fecha y Gastos!E = tarjeta</t>
        </is>
      </c>
    </row>
    <row r="5">
      <c r="A5" s="11">
        <f>DATE(2026,11,12)</f>
        <v/>
      </c>
      <c r="B5" t="inlineStr">
        <is>
          <t>iO</t>
        </is>
      </c>
      <c r="C5" s="12">
        <f>SUMIFS(Gastos!C:C,Gastos!G:G,A5,Gastos!E:E,B5)</f>
        <v/>
      </c>
    </row>
    <row r="6">
      <c r="A6" s="11">
        <f>DATE(2026,12,5)</f>
        <v/>
      </c>
      <c r="B6" t="inlineStr">
        <is>
          <t>BBVA</t>
        </is>
      </c>
      <c r="C6" s="12">
        <f>SUMIFS(Gastos!C:C,Gastos!G:G,A6,Gastos!E:E,B6)</f>
        <v/>
      </c>
    </row>
    <row r="7">
      <c r="A7" s="11">
        <f>DATE(2026,11,20)</f>
        <v/>
      </c>
      <c r="B7" t="inlineStr">
        <is>
          <t>pareja</t>
        </is>
      </c>
      <c r="C7" s="12">
        <f>SUMIFS(Gastos!C:C,Gastos!G:G,A7,Gastos!E:E,B7)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8" t="inlineStr">
        <is>
          <t>Gasto por segmento y ciclo de tarjeta</t>
        </is>
      </c>
    </row>
    <row r="3">
      <c r="A3" s="14" t="inlineStr">
        <is>
          <t>Ingreso mensual (S/)</t>
        </is>
      </c>
      <c r="B3" s="15" t="n"/>
      <c r="C3" s="16" t="inlineStr">
        <is>
          <t>← escribe tu ingreso mensual</t>
        </is>
      </c>
    </row>
    <row r="4">
      <c r="A4" s="14" t="inlineStr">
        <is>
          <t>Tipo de cambio (S/ por US$)</t>
        </is>
      </c>
      <c r="B4" s="17" t="n">
        <v>3.6</v>
      </c>
      <c r="C4" s="16" t="inlineStr">
        <is>
          <t>← referencial, ajústalo</t>
        </is>
      </c>
    </row>
    <row r="6" ht="32" customHeight="1">
      <c r="A6" s="18" t="inlineStr">
        <is>
          <t>Fecha de Pago</t>
        </is>
      </c>
      <c r="B6" s="18" t="inlineStr">
        <is>
          <t>Tarjeta</t>
        </is>
      </c>
      <c r="C6" s="18" t="inlineStr">
        <is>
          <t>Corte</t>
        </is>
      </c>
      <c r="D6" s="18" t="inlineStr">
        <is>
          <t>Comida</t>
        </is>
      </c>
      <c r="E6" s="18" t="inlineStr">
        <is>
          <t>Transporte</t>
        </is>
      </c>
      <c r="F6" s="18" t="inlineStr">
        <is>
          <t>Ropa y compras</t>
        </is>
      </c>
      <c r="G6" s="18" t="inlineStr">
        <is>
          <t>Ocio</t>
        </is>
      </c>
      <c r="H6" s="18" t="inlineStr">
        <is>
          <t>Suscripciones</t>
        </is>
      </c>
      <c r="I6" s="18" t="inlineStr">
        <is>
          <t>Pareja</t>
        </is>
      </c>
      <c r="J6" s="18" t="inlineStr">
        <is>
          <t>Otros</t>
        </is>
      </c>
      <c r="K6" s="18" t="inlineStr">
        <is>
          <t>Total S/</t>
        </is>
      </c>
      <c r="L6" s="18" t="inlineStr">
        <is>
          <t>% del ingreso</t>
        </is>
      </c>
      <c r="M6" s="18" t="inlineStr">
        <is>
          <t>Aprox. al cierre S/</t>
        </is>
      </c>
      <c r="N6" s="18" t="inlineStr">
        <is>
          <t>% aprox. del ingreso</t>
        </is>
      </c>
    </row>
    <row r="7">
      <c r="A7" s="19">
        <f>DATE(2026,11,5)</f>
        <v/>
      </c>
      <c r="B7" s="20" t="inlineStr">
        <is>
          <t>BBVA</t>
        </is>
      </c>
      <c r="C7" s="21">
        <f>IF(OR(A7="",B7="pareja"),"",DATE(YEAR(A7),MONTH(A7)-1,IF(B7="iO",25,10)))</f>
        <v/>
      </c>
      <c r="D7" s="22">
        <f>IF($A7="","",SUMIFS(Gastos!$J:$J,Gastos!$G:$G,$A7,Gastos!$E:$E,$B7,Gastos!$I:$I,D$6))</f>
        <v/>
      </c>
      <c r="E7" s="22">
        <f>IF($A7="","",SUMIFS(Gastos!$J:$J,Gastos!$G:$G,$A7,Gastos!$E:$E,$B7,Gastos!$I:$I,E$6))</f>
        <v/>
      </c>
      <c r="F7" s="22">
        <f>IF($A7="","",SUMIFS(Gastos!$J:$J,Gastos!$G:$G,$A7,Gastos!$E:$E,$B7,Gastos!$I:$I,F$6))</f>
        <v/>
      </c>
      <c r="G7" s="22">
        <f>IF($A7="","",SUMIFS(Gastos!$J:$J,Gastos!$G:$G,$A7,Gastos!$E:$E,$B7,Gastos!$I:$I,G$6))</f>
        <v/>
      </c>
      <c r="H7" s="22">
        <f>IF($A7="","",SUMIFS(Gastos!$J:$J,Gastos!$G:$G,$A7,Gastos!$E:$E,$B7,Gastos!$I:$I,H$6))</f>
        <v/>
      </c>
      <c r="I7" s="22">
        <f>IF($A7="","",SUMIFS(Gastos!$J:$J,Gastos!$G:$G,$A7,Gastos!$E:$E,$B7,Gastos!$I:$I,I$6))</f>
        <v/>
      </c>
      <c r="J7" s="22">
        <f>IF($A7="","",SUMIFS(Gastos!$J:$J,Gastos!$G:$G,$A7,Gastos!$E:$E,$B7,Gastos!$I:$I,J$6))</f>
        <v/>
      </c>
      <c r="K7" s="22">
        <f>IF(A7="","",SUMIFS(Gastos!$J:$J,Gastos!$G:$G,$A7,Gastos!$E:$E,$B7))</f>
        <v/>
      </c>
      <c r="L7" s="23">
        <f>IF(OR(A7="",$B$3=""),"",K7/$B$3)</f>
        <v/>
      </c>
      <c r="M7" s="22">
        <f>IF(A7="","",IF(OR(C7="",TODAY()&gt;=C7),K7,K7/MAX(1,TODAY()-(EDATE(C7,-1)+1)+1)*(C7-(EDATE(C7,-1)+1)+1)))</f>
        <v/>
      </c>
      <c r="N7" s="23">
        <f>IF(OR(A7="",$B$3=""),"",M7/$B$3)</f>
        <v/>
      </c>
    </row>
    <row r="8">
      <c r="A8" s="19">
        <f>DATE(2026,11,12)</f>
        <v/>
      </c>
      <c r="B8" s="20" t="inlineStr">
        <is>
          <t>iO</t>
        </is>
      </c>
      <c r="C8" s="21">
        <f>IF(OR(A8="",B8="pareja"),"",DATE(YEAR(A8),MONTH(A8)-1,IF(B8="iO",25,10)))</f>
        <v/>
      </c>
      <c r="D8" s="22">
        <f>IF($A8="","",SUMIFS(Gastos!$J:$J,Gastos!$G:$G,$A8,Gastos!$E:$E,$B8,Gastos!$I:$I,D$6))</f>
        <v/>
      </c>
      <c r="E8" s="22">
        <f>IF($A8="","",SUMIFS(Gastos!$J:$J,Gastos!$G:$G,$A8,Gastos!$E:$E,$B8,Gastos!$I:$I,E$6))</f>
        <v/>
      </c>
      <c r="F8" s="22">
        <f>IF($A8="","",SUMIFS(Gastos!$J:$J,Gastos!$G:$G,$A8,Gastos!$E:$E,$B8,Gastos!$I:$I,F$6))</f>
        <v/>
      </c>
      <c r="G8" s="22">
        <f>IF($A8="","",SUMIFS(Gastos!$J:$J,Gastos!$G:$G,$A8,Gastos!$E:$E,$B8,Gastos!$I:$I,G$6))</f>
        <v/>
      </c>
      <c r="H8" s="22">
        <f>IF($A8="","",SUMIFS(Gastos!$J:$J,Gastos!$G:$G,$A8,Gastos!$E:$E,$B8,Gastos!$I:$I,H$6))</f>
        <v/>
      </c>
      <c r="I8" s="22">
        <f>IF($A8="","",SUMIFS(Gastos!$J:$J,Gastos!$G:$G,$A8,Gastos!$E:$E,$B8,Gastos!$I:$I,I$6))</f>
        <v/>
      </c>
      <c r="J8" s="22">
        <f>IF($A8="","",SUMIFS(Gastos!$J:$J,Gastos!$G:$G,$A8,Gastos!$E:$E,$B8,Gastos!$I:$I,J$6))</f>
        <v/>
      </c>
      <c r="K8" s="22">
        <f>IF(A8="","",SUMIFS(Gastos!$J:$J,Gastos!$G:$G,$A8,Gastos!$E:$E,$B8))</f>
        <v/>
      </c>
      <c r="L8" s="23">
        <f>IF(OR(A8="",$B$3=""),"",K8/$B$3)</f>
        <v/>
      </c>
      <c r="M8" s="22">
        <f>IF(A8="","",IF(OR(C8="",TODAY()&gt;=C8),K8,K8/MAX(1,TODAY()-(EDATE(C8,-1)+1)+1)*(C8-(EDATE(C8,-1)+1)+1)))</f>
        <v/>
      </c>
      <c r="N8" s="23">
        <f>IF(OR(A8="",$B$3=""),"",M8/$B$3)</f>
        <v/>
      </c>
    </row>
    <row r="9">
      <c r="A9" s="19">
        <f>DATE(2026,11,20)</f>
        <v/>
      </c>
      <c r="B9" s="20" t="inlineStr">
        <is>
          <t>pareja</t>
        </is>
      </c>
      <c r="C9" s="21">
        <f>IF(OR(A9="",B9="pareja"),"",DATE(YEAR(A9),MONTH(A9)-1,IF(B9="iO",25,10)))</f>
        <v/>
      </c>
      <c r="D9" s="22">
        <f>IF($A9="","",SUMIFS(Gastos!$J:$J,Gastos!$G:$G,$A9,Gastos!$E:$E,$B9,Gastos!$I:$I,D$6))</f>
        <v/>
      </c>
      <c r="E9" s="22">
        <f>IF($A9="","",SUMIFS(Gastos!$J:$J,Gastos!$G:$G,$A9,Gastos!$E:$E,$B9,Gastos!$I:$I,E$6))</f>
        <v/>
      </c>
      <c r="F9" s="22">
        <f>IF($A9="","",SUMIFS(Gastos!$J:$J,Gastos!$G:$G,$A9,Gastos!$E:$E,$B9,Gastos!$I:$I,F$6))</f>
        <v/>
      </c>
      <c r="G9" s="22">
        <f>IF($A9="","",SUMIFS(Gastos!$J:$J,Gastos!$G:$G,$A9,Gastos!$E:$E,$B9,Gastos!$I:$I,G$6))</f>
        <v/>
      </c>
      <c r="H9" s="22">
        <f>IF($A9="","",SUMIFS(Gastos!$J:$J,Gastos!$G:$G,$A9,Gastos!$E:$E,$B9,Gastos!$I:$I,H$6))</f>
        <v/>
      </c>
      <c r="I9" s="22">
        <f>IF($A9="","",SUMIFS(Gastos!$J:$J,Gastos!$G:$G,$A9,Gastos!$E:$E,$B9,Gastos!$I:$I,I$6))</f>
        <v/>
      </c>
      <c r="J9" s="22">
        <f>IF($A9="","",SUMIFS(Gastos!$J:$J,Gastos!$G:$G,$A9,Gastos!$E:$E,$B9,Gastos!$I:$I,J$6))</f>
        <v/>
      </c>
      <c r="K9" s="22">
        <f>IF(A9="","",SUMIFS(Gastos!$J:$J,Gastos!$G:$G,$A9,Gastos!$E:$E,$B9))</f>
        <v/>
      </c>
      <c r="L9" s="23">
        <f>IF(OR(A9="",$B$3=""),"",K9/$B$3)</f>
        <v/>
      </c>
      <c r="M9" s="22">
        <f>IF(A9="","",IF(OR(C9="",TODAY()&gt;=C9),K9,K9/MAX(1,TODAY()-(EDATE(C9,-1)+1)+1)*(C9-(EDATE(C9,-1)+1)+1)))</f>
        <v/>
      </c>
      <c r="N9" s="23">
        <f>IF(OR(A9="",$B$3=""),"",M9/$B$3)</f>
        <v/>
      </c>
    </row>
    <row r="10">
      <c r="A10" s="19">
        <f>DATE(2026,12,5)</f>
        <v/>
      </c>
      <c r="B10" s="20" t="inlineStr">
        <is>
          <t>BBVA</t>
        </is>
      </c>
      <c r="C10" s="21">
        <f>IF(OR(A10="",B10="pareja"),"",DATE(YEAR(A10),MONTH(A10)-1,IF(B10="iO",25,10)))</f>
        <v/>
      </c>
      <c r="D10" s="22">
        <f>IF($A10="","",SUMIFS(Gastos!$J:$J,Gastos!$G:$G,$A10,Gastos!$E:$E,$B10,Gastos!$I:$I,D$6))</f>
        <v/>
      </c>
      <c r="E10" s="22">
        <f>IF($A10="","",SUMIFS(Gastos!$J:$J,Gastos!$G:$G,$A10,Gastos!$E:$E,$B10,Gastos!$I:$I,E$6))</f>
        <v/>
      </c>
      <c r="F10" s="22">
        <f>IF($A10="","",SUMIFS(Gastos!$J:$J,Gastos!$G:$G,$A10,Gastos!$E:$E,$B10,Gastos!$I:$I,F$6))</f>
        <v/>
      </c>
      <c r="G10" s="22">
        <f>IF($A10="","",SUMIFS(Gastos!$J:$J,Gastos!$G:$G,$A10,Gastos!$E:$E,$B10,Gastos!$I:$I,G$6))</f>
        <v/>
      </c>
      <c r="H10" s="22">
        <f>IF($A10="","",SUMIFS(Gastos!$J:$J,Gastos!$G:$G,$A10,Gastos!$E:$E,$B10,Gastos!$I:$I,H$6))</f>
        <v/>
      </c>
      <c r="I10" s="22">
        <f>IF($A10="","",SUMIFS(Gastos!$J:$J,Gastos!$G:$G,$A10,Gastos!$E:$E,$B10,Gastos!$I:$I,I$6))</f>
        <v/>
      </c>
      <c r="J10" s="22">
        <f>IF($A10="","",SUMIFS(Gastos!$J:$J,Gastos!$G:$G,$A10,Gastos!$E:$E,$B10,Gastos!$I:$I,J$6))</f>
        <v/>
      </c>
      <c r="K10" s="22">
        <f>IF(A10="","",SUMIFS(Gastos!$J:$J,Gastos!$G:$G,$A10,Gastos!$E:$E,$B10))</f>
        <v/>
      </c>
      <c r="L10" s="23">
        <f>IF(OR(A10="",$B$3=""),"",K10/$B$3)</f>
        <v/>
      </c>
      <c r="M10" s="22">
        <f>IF(A10="","",IF(OR(C10="",TODAY()&gt;=C10),K10,K10/MAX(1,TODAY()-(EDATE(C10,-1)+1)+1)*(C10-(EDATE(C10,-1)+1)+1)))</f>
        <v/>
      </c>
      <c r="N10" s="23">
        <f>IF(OR(A10="",$B$3=""),"",M10/$B$3)</f>
        <v/>
      </c>
    </row>
    <row r="11">
      <c r="A11" s="19" t="n"/>
      <c r="B11" s="20" t="n"/>
      <c r="C11" s="21">
        <f>IF(OR(A11="",B11="pareja"),"",DATE(YEAR(A11),MONTH(A11)-1,IF(B11="iO",25,10)))</f>
        <v/>
      </c>
      <c r="D11" s="22">
        <f>IF($A11="","",SUMIFS(Gastos!$J:$J,Gastos!$G:$G,$A11,Gastos!$E:$E,$B11,Gastos!$I:$I,D$6))</f>
        <v/>
      </c>
      <c r="E11" s="22">
        <f>IF($A11="","",SUMIFS(Gastos!$J:$J,Gastos!$G:$G,$A11,Gastos!$E:$E,$B11,Gastos!$I:$I,E$6))</f>
        <v/>
      </c>
      <c r="F11" s="22">
        <f>IF($A11="","",SUMIFS(Gastos!$J:$J,Gastos!$G:$G,$A11,Gastos!$E:$E,$B11,Gastos!$I:$I,F$6))</f>
        <v/>
      </c>
      <c r="G11" s="22">
        <f>IF($A11="","",SUMIFS(Gastos!$J:$J,Gastos!$G:$G,$A11,Gastos!$E:$E,$B11,Gastos!$I:$I,G$6))</f>
        <v/>
      </c>
      <c r="H11" s="22">
        <f>IF($A11="","",SUMIFS(Gastos!$J:$J,Gastos!$G:$G,$A11,Gastos!$E:$E,$B11,Gastos!$I:$I,H$6))</f>
        <v/>
      </c>
      <c r="I11" s="22">
        <f>IF($A11="","",SUMIFS(Gastos!$J:$J,Gastos!$G:$G,$A11,Gastos!$E:$E,$B11,Gastos!$I:$I,I$6))</f>
        <v/>
      </c>
      <c r="J11" s="22">
        <f>IF($A11="","",SUMIFS(Gastos!$J:$J,Gastos!$G:$G,$A11,Gastos!$E:$E,$B11,Gastos!$I:$I,J$6))</f>
        <v/>
      </c>
      <c r="K11" s="22">
        <f>IF(A11="","",SUMIFS(Gastos!$J:$J,Gastos!$G:$G,$A11,Gastos!$E:$E,$B11))</f>
        <v/>
      </c>
      <c r="L11" s="23">
        <f>IF(OR(A11="",$B$3=""),"",K11/$B$3)</f>
        <v/>
      </c>
      <c r="M11" s="22">
        <f>IF(A11="","",IF(OR(C11="",TODAY()&gt;=C11),K11,K11/MAX(1,TODAY()-(EDATE(C11,-1)+1)+1)*(C11-(EDATE(C11,-1)+1)+1)))</f>
        <v/>
      </c>
      <c r="N11" s="23">
        <f>IF(OR(A11="",$B$3=""),"",M11/$B$3)</f>
        <v/>
      </c>
    </row>
    <row r="12">
      <c r="A12" s="19" t="n"/>
      <c r="B12" s="20" t="n"/>
      <c r="C12" s="21">
        <f>IF(OR(A12="",B12="pareja"),"",DATE(YEAR(A12),MONTH(A12)-1,IF(B12="iO",25,10)))</f>
        <v/>
      </c>
      <c r="D12" s="22">
        <f>IF($A12="","",SUMIFS(Gastos!$J:$J,Gastos!$G:$G,$A12,Gastos!$E:$E,$B12,Gastos!$I:$I,D$6))</f>
        <v/>
      </c>
      <c r="E12" s="22">
        <f>IF($A12="","",SUMIFS(Gastos!$J:$J,Gastos!$G:$G,$A12,Gastos!$E:$E,$B12,Gastos!$I:$I,E$6))</f>
        <v/>
      </c>
      <c r="F12" s="22">
        <f>IF($A12="","",SUMIFS(Gastos!$J:$J,Gastos!$G:$G,$A12,Gastos!$E:$E,$B12,Gastos!$I:$I,F$6))</f>
        <v/>
      </c>
      <c r="G12" s="22">
        <f>IF($A12="","",SUMIFS(Gastos!$J:$J,Gastos!$G:$G,$A12,Gastos!$E:$E,$B12,Gastos!$I:$I,G$6))</f>
        <v/>
      </c>
      <c r="H12" s="22">
        <f>IF($A12="","",SUMIFS(Gastos!$J:$J,Gastos!$G:$G,$A12,Gastos!$E:$E,$B12,Gastos!$I:$I,H$6))</f>
        <v/>
      </c>
      <c r="I12" s="22">
        <f>IF($A12="","",SUMIFS(Gastos!$J:$J,Gastos!$G:$G,$A12,Gastos!$E:$E,$B12,Gastos!$I:$I,I$6))</f>
        <v/>
      </c>
      <c r="J12" s="22">
        <f>IF($A12="","",SUMIFS(Gastos!$J:$J,Gastos!$G:$G,$A12,Gastos!$E:$E,$B12,Gastos!$I:$I,J$6))</f>
        <v/>
      </c>
      <c r="K12" s="22">
        <f>IF(A12="","",SUMIFS(Gastos!$J:$J,Gastos!$G:$G,$A12,Gastos!$E:$E,$B12))</f>
        <v/>
      </c>
      <c r="L12" s="23">
        <f>IF(OR(A12="",$B$3=""),"",K12/$B$3)</f>
        <v/>
      </c>
      <c r="M12" s="22">
        <f>IF(A12="","",IF(OR(C12="",TODAY()&gt;=C12),K12,K12/MAX(1,TODAY()-(EDATE(C12,-1)+1)+1)*(C12-(EDATE(C12,-1)+1)+1)))</f>
        <v/>
      </c>
      <c r="N12" s="23">
        <f>IF(OR(A12="",$B$3=""),"",M12/$B$3)</f>
        <v/>
      </c>
    </row>
    <row r="13">
      <c r="A13" s="19" t="n"/>
      <c r="B13" s="20" t="n"/>
      <c r="C13" s="21">
        <f>IF(OR(A13="",B13="pareja"),"",DATE(YEAR(A13),MONTH(A13)-1,IF(B13="iO",25,10)))</f>
        <v/>
      </c>
      <c r="D13" s="22">
        <f>IF($A13="","",SUMIFS(Gastos!$J:$J,Gastos!$G:$G,$A13,Gastos!$E:$E,$B13,Gastos!$I:$I,D$6))</f>
        <v/>
      </c>
      <c r="E13" s="22">
        <f>IF($A13="","",SUMIFS(Gastos!$J:$J,Gastos!$G:$G,$A13,Gastos!$E:$E,$B13,Gastos!$I:$I,E$6))</f>
        <v/>
      </c>
      <c r="F13" s="22">
        <f>IF($A13="","",SUMIFS(Gastos!$J:$J,Gastos!$G:$G,$A13,Gastos!$E:$E,$B13,Gastos!$I:$I,F$6))</f>
        <v/>
      </c>
      <c r="G13" s="22">
        <f>IF($A13="","",SUMIFS(Gastos!$J:$J,Gastos!$G:$G,$A13,Gastos!$E:$E,$B13,Gastos!$I:$I,G$6))</f>
        <v/>
      </c>
      <c r="H13" s="22">
        <f>IF($A13="","",SUMIFS(Gastos!$J:$J,Gastos!$G:$G,$A13,Gastos!$E:$E,$B13,Gastos!$I:$I,H$6))</f>
        <v/>
      </c>
      <c r="I13" s="22">
        <f>IF($A13="","",SUMIFS(Gastos!$J:$J,Gastos!$G:$G,$A13,Gastos!$E:$E,$B13,Gastos!$I:$I,I$6))</f>
        <v/>
      </c>
      <c r="J13" s="22">
        <f>IF($A13="","",SUMIFS(Gastos!$J:$J,Gastos!$G:$G,$A13,Gastos!$E:$E,$B13,Gastos!$I:$I,J$6))</f>
        <v/>
      </c>
      <c r="K13" s="22">
        <f>IF(A13="","",SUMIFS(Gastos!$J:$J,Gastos!$G:$G,$A13,Gastos!$E:$E,$B13))</f>
        <v/>
      </c>
      <c r="L13" s="23">
        <f>IF(OR(A13="",$B$3=""),"",K13/$B$3)</f>
        <v/>
      </c>
      <c r="M13" s="22">
        <f>IF(A13="","",IF(OR(C13="",TODAY()&gt;=C13),K13,K13/MAX(1,TODAY()-(EDATE(C13,-1)+1)+1)*(C13-(EDATE(C13,-1)+1)+1)))</f>
        <v/>
      </c>
      <c r="N13" s="23">
        <f>IF(OR(A13="",$B$3=""),"",M13/$B$3)</f>
        <v/>
      </c>
    </row>
    <row r="14">
      <c r="A14" s="19" t="n"/>
      <c r="B14" s="20" t="n"/>
      <c r="C14" s="21">
        <f>IF(OR(A14="",B14="pareja"),"",DATE(YEAR(A14),MONTH(A14)-1,IF(B14="iO",25,10)))</f>
        <v/>
      </c>
      <c r="D14" s="22">
        <f>IF($A14="","",SUMIFS(Gastos!$J:$J,Gastos!$G:$G,$A14,Gastos!$E:$E,$B14,Gastos!$I:$I,D$6))</f>
        <v/>
      </c>
      <c r="E14" s="22">
        <f>IF($A14="","",SUMIFS(Gastos!$J:$J,Gastos!$G:$G,$A14,Gastos!$E:$E,$B14,Gastos!$I:$I,E$6))</f>
        <v/>
      </c>
      <c r="F14" s="22">
        <f>IF($A14="","",SUMIFS(Gastos!$J:$J,Gastos!$G:$G,$A14,Gastos!$E:$E,$B14,Gastos!$I:$I,F$6))</f>
        <v/>
      </c>
      <c r="G14" s="22">
        <f>IF($A14="","",SUMIFS(Gastos!$J:$J,Gastos!$G:$G,$A14,Gastos!$E:$E,$B14,Gastos!$I:$I,G$6))</f>
        <v/>
      </c>
      <c r="H14" s="22">
        <f>IF($A14="","",SUMIFS(Gastos!$J:$J,Gastos!$G:$G,$A14,Gastos!$E:$E,$B14,Gastos!$I:$I,H$6))</f>
        <v/>
      </c>
      <c r="I14" s="22">
        <f>IF($A14="","",SUMIFS(Gastos!$J:$J,Gastos!$G:$G,$A14,Gastos!$E:$E,$B14,Gastos!$I:$I,I$6))</f>
        <v/>
      </c>
      <c r="J14" s="22">
        <f>IF($A14="","",SUMIFS(Gastos!$J:$J,Gastos!$G:$G,$A14,Gastos!$E:$E,$B14,Gastos!$I:$I,J$6))</f>
        <v/>
      </c>
      <c r="K14" s="22">
        <f>IF(A14="","",SUMIFS(Gastos!$J:$J,Gastos!$G:$G,$A14,Gastos!$E:$E,$B14))</f>
        <v/>
      </c>
      <c r="L14" s="23">
        <f>IF(OR(A14="",$B$3=""),"",K14/$B$3)</f>
        <v/>
      </c>
      <c r="M14" s="22">
        <f>IF(A14="","",IF(OR(C14="",TODAY()&gt;=C14),K14,K14/MAX(1,TODAY()-(EDATE(C14,-1)+1)+1)*(C14-(EDATE(C14,-1)+1)+1)))</f>
        <v/>
      </c>
      <c r="N14" s="23">
        <f>IF(OR(A14="",$B$3=""),"",M14/$B$3)</f>
        <v/>
      </c>
    </row>
    <row r="15">
      <c r="A15" s="19" t="n"/>
      <c r="B15" s="20" t="n"/>
      <c r="C15" s="21">
        <f>IF(OR(A15="",B15="pareja"),"",DATE(YEAR(A15),MONTH(A15)-1,IF(B15="iO",25,10)))</f>
        <v/>
      </c>
      <c r="D15" s="22">
        <f>IF($A15="","",SUMIFS(Gastos!$J:$J,Gastos!$G:$G,$A15,Gastos!$E:$E,$B15,Gastos!$I:$I,D$6))</f>
        <v/>
      </c>
      <c r="E15" s="22">
        <f>IF($A15="","",SUMIFS(Gastos!$J:$J,Gastos!$G:$G,$A15,Gastos!$E:$E,$B15,Gastos!$I:$I,E$6))</f>
        <v/>
      </c>
      <c r="F15" s="22">
        <f>IF($A15="","",SUMIFS(Gastos!$J:$J,Gastos!$G:$G,$A15,Gastos!$E:$E,$B15,Gastos!$I:$I,F$6))</f>
        <v/>
      </c>
      <c r="G15" s="22">
        <f>IF($A15="","",SUMIFS(Gastos!$J:$J,Gastos!$G:$G,$A15,Gastos!$E:$E,$B15,Gastos!$I:$I,G$6))</f>
        <v/>
      </c>
      <c r="H15" s="22">
        <f>IF($A15="","",SUMIFS(Gastos!$J:$J,Gastos!$G:$G,$A15,Gastos!$E:$E,$B15,Gastos!$I:$I,H$6))</f>
        <v/>
      </c>
      <c r="I15" s="22">
        <f>IF($A15="","",SUMIFS(Gastos!$J:$J,Gastos!$G:$G,$A15,Gastos!$E:$E,$B15,Gastos!$I:$I,I$6))</f>
        <v/>
      </c>
      <c r="J15" s="22">
        <f>IF($A15="","",SUMIFS(Gastos!$J:$J,Gastos!$G:$G,$A15,Gastos!$E:$E,$B15,Gastos!$I:$I,J$6))</f>
        <v/>
      </c>
      <c r="K15" s="22">
        <f>IF(A15="","",SUMIFS(Gastos!$J:$J,Gastos!$G:$G,$A15,Gastos!$E:$E,$B15))</f>
        <v/>
      </c>
      <c r="L15" s="23">
        <f>IF(OR(A15="",$B$3=""),"",K15/$B$3)</f>
        <v/>
      </c>
      <c r="M15" s="22">
        <f>IF(A15="","",IF(OR(C15="",TODAY()&gt;=C15),K15,K15/MAX(1,TODAY()-(EDATE(C15,-1)+1)+1)*(C15-(EDATE(C15,-1)+1)+1)))</f>
        <v/>
      </c>
      <c r="N15" s="23">
        <f>IF(OR(A15="",$B$3=""),"",M15/$B$3)</f>
        <v/>
      </c>
    </row>
    <row r="16">
      <c r="A16" s="19" t="n"/>
      <c r="B16" s="20" t="n"/>
      <c r="C16" s="21">
        <f>IF(OR(A16="",B16="pareja"),"",DATE(YEAR(A16),MONTH(A16)-1,IF(B16="iO",25,10)))</f>
        <v/>
      </c>
      <c r="D16" s="22">
        <f>IF($A16="","",SUMIFS(Gastos!$J:$J,Gastos!$G:$G,$A16,Gastos!$E:$E,$B16,Gastos!$I:$I,D$6))</f>
        <v/>
      </c>
      <c r="E16" s="22">
        <f>IF($A16="","",SUMIFS(Gastos!$J:$J,Gastos!$G:$G,$A16,Gastos!$E:$E,$B16,Gastos!$I:$I,E$6))</f>
        <v/>
      </c>
      <c r="F16" s="22">
        <f>IF($A16="","",SUMIFS(Gastos!$J:$J,Gastos!$G:$G,$A16,Gastos!$E:$E,$B16,Gastos!$I:$I,F$6))</f>
        <v/>
      </c>
      <c r="G16" s="22">
        <f>IF($A16="","",SUMIFS(Gastos!$J:$J,Gastos!$G:$G,$A16,Gastos!$E:$E,$B16,Gastos!$I:$I,G$6))</f>
        <v/>
      </c>
      <c r="H16" s="22">
        <f>IF($A16="","",SUMIFS(Gastos!$J:$J,Gastos!$G:$G,$A16,Gastos!$E:$E,$B16,Gastos!$I:$I,H$6))</f>
        <v/>
      </c>
      <c r="I16" s="22">
        <f>IF($A16="","",SUMIFS(Gastos!$J:$J,Gastos!$G:$G,$A16,Gastos!$E:$E,$B16,Gastos!$I:$I,I$6))</f>
        <v/>
      </c>
      <c r="J16" s="22">
        <f>IF($A16="","",SUMIFS(Gastos!$J:$J,Gastos!$G:$G,$A16,Gastos!$E:$E,$B16,Gastos!$I:$I,J$6))</f>
        <v/>
      </c>
      <c r="K16" s="22">
        <f>IF(A16="","",SUMIFS(Gastos!$J:$J,Gastos!$G:$G,$A16,Gastos!$E:$E,$B16))</f>
        <v/>
      </c>
      <c r="L16" s="23">
        <f>IF(OR(A16="",$B$3=""),"",K16/$B$3)</f>
        <v/>
      </c>
      <c r="M16" s="22">
        <f>IF(A16="","",IF(OR(C16="",TODAY()&gt;=C16),K16,K16/MAX(1,TODAY()-(EDATE(C16,-1)+1)+1)*(C16-(EDATE(C16,-1)+1)+1)))</f>
        <v/>
      </c>
      <c r="N16" s="23">
        <f>IF(OR(A16="",$B$3=""),"",M16/$B$3)</f>
        <v/>
      </c>
    </row>
    <row r="17">
      <c r="A17" s="24" t="inlineStr">
        <is>
          <t>Total</t>
        </is>
      </c>
      <c r="B17" s="24" t="n"/>
      <c r="C17" s="24" t="n"/>
      <c r="D17" s="25">
        <f>SUM(D7:D16)</f>
        <v/>
      </c>
      <c r="E17" s="25">
        <f>SUM(E7:E16)</f>
        <v/>
      </c>
      <c r="F17" s="25">
        <f>SUM(F7:F16)</f>
        <v/>
      </c>
      <c r="G17" s="25">
        <f>SUM(G7:G16)</f>
        <v/>
      </c>
      <c r="H17" s="25">
        <f>SUM(H7:H16)</f>
        <v/>
      </c>
      <c r="I17" s="25">
        <f>SUM(I7:I16)</f>
        <v/>
      </c>
      <c r="J17" s="25">
        <f>SUM(J7:J16)</f>
        <v/>
      </c>
      <c r="K17" s="25">
        <f>SUM(K7:K16)</f>
        <v/>
      </c>
      <c r="L17" s="26">
        <f>IF($B$3="","",K17/$B$3)</f>
        <v/>
      </c>
      <c r="M17" s="25">
        <f>SUM(M7:M16)</f>
        <v/>
      </c>
      <c r="N17" s="26">
        <f>IF($B$3="","",M17/$B$3)</f>
        <v/>
      </c>
    </row>
    <row r="19">
      <c r="A19" s="27" t="inlineStr">
        <is>
          <t>Los montos en dólares se convierten con el tipo de cambio de B4. 'Aprox. al cierre' proyecta el ritmo diario del ciclo hasta el corte (más confiable a mitad de ciclo que al inicio).</t>
        </is>
      </c>
    </row>
    <row r="20">
      <c r="A20" s="27" t="inlineStr">
        <is>
          <t>Para agregar otro ciclo, escribe su Fecha de Pago y Tarjeta en las celdas amarillas libres de arriba.</t>
        </is>
      </c>
    </row>
  </sheetData>
  <dataValidations count="1">
    <dataValidation sqref="B7:B16" showDropDown="0" showInputMessage="0" showErrorMessage="0" allowBlank="1" type="list">
      <formula1>"iO,BBVA,pareja"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Cómo usar esta hoja</t>
        </is>
      </c>
    </row>
    <row r="2">
      <c r="A2" s="13" t="inlineStr"/>
    </row>
    <row r="3">
      <c r="A3" s="13" t="inlineStr">
        <is>
          <t>1) En la pestaña 'Gastos', llena solo las columnas amarillas de ejemplo (fila 2 es una muestra, bórrala o sobrescríbela):</t>
        </is>
      </c>
    </row>
    <row r="4">
      <c r="A4" s="13" t="inlineStr">
        <is>
          <t xml:space="preserve">   - Fecha: fecha en que se hizo la compra.</t>
        </is>
      </c>
    </row>
    <row r="5">
      <c r="A5" s="13" t="inlineStr">
        <is>
          <t xml:space="preserve">   - Comercio: dónde se hizo el gasto.</t>
        </is>
      </c>
    </row>
    <row r="6">
      <c r="A6" s="13" t="inlineStr">
        <is>
          <t xml:space="preserve">   - Monto: monto de la compra.</t>
        </is>
      </c>
    </row>
    <row r="7">
      <c r="A7" s="13" t="inlineStr">
        <is>
          <t xml:space="preserve">   - Moneda: Soles o Dólares (lista desplegable).</t>
        </is>
      </c>
    </row>
    <row r="8">
      <c r="A8" s="13" t="inlineStr">
        <is>
          <t xml:space="preserve">   - Tarjeta: iO o BBVA (lista desplegable).</t>
        </is>
      </c>
    </row>
    <row r="9">
      <c r="A9" s="13" t="inlineStr">
        <is>
          <t xml:space="preserve">   - Estado: Pendiente o Pagado (lista desplegable, la actualizas tú).</t>
        </is>
      </c>
    </row>
    <row r="10">
      <c r="A10" s="13" t="inlineStr"/>
    </row>
    <row r="11">
      <c r="A11" s="13" t="inlineStr">
        <is>
          <t>2) Las columnas 'Corte' y 'Fecha de Pago' se calculan solas con fórmulas, según estas reglas:</t>
        </is>
      </c>
    </row>
    <row r="12">
      <c r="A12" s="13" t="inlineStr">
        <is>
          <t xml:space="preserve">   - Tarjeta iO: corte el día 25 de cada mes, pago el día 12 del mes siguiente al corte.</t>
        </is>
      </c>
    </row>
    <row r="13">
      <c r="A13" s="13" t="inlineStr">
        <is>
          <t xml:space="preserve">   - Tarjeta BBVA: corte el día 10 de cada mes, pago el día 5 del mes siguiente al corte.</t>
        </is>
      </c>
    </row>
    <row r="14">
      <c r="A14" s="13" t="inlineStr">
        <is>
          <t xml:space="preserve">   - Un gasto hecho después del día de corte pasa automáticamente al siguiente ciclo.</t>
        </is>
      </c>
    </row>
    <row r="15">
      <c r="A15" s="13" t="inlineStr"/>
    </row>
    <row r="16">
      <c r="A16" s="13" t="inlineStr">
        <is>
          <t>3) La pestaña 'Resumen' suma los gastos agrupados por fecha de pago y tarjeta (SUMIFS),</t>
        </is>
      </c>
    </row>
    <row r="17">
      <c r="A17" s="13" t="inlineStr">
        <is>
          <t xml:space="preserve">   para que veas cuánto te toca pagar en cada fecha.</t>
        </is>
      </c>
    </row>
    <row r="18">
      <c r="A18" s="13" t="inlineStr"/>
    </row>
    <row r="19">
      <c r="A19" s="13" t="inlineStr">
        <is>
          <t>4) Los gastos de la Tarjeta iO no llegan por correo individual (solo el estado de cuenta mensual,</t>
        </is>
      </c>
    </row>
    <row r="20">
      <c r="A20" s="13" t="inlineStr">
        <is>
          <t xml:space="preserve">   protegido con tu DNI), así que esos los agregas tú manualmente cada mes.</t>
        </is>
      </c>
    </row>
    <row r="21">
      <c r="A21" s="13" t="inlineStr">
        <is>
          <t xml:space="preserve">   Los de BBVA se están evaluando para automatizar vía correo.</t>
        </is>
      </c>
    </row>
    <row r="22">
      <c r="A22" s="13" t="inlineStr">
        <is>
          <t xml:space="preserve">   Tarjeta 'pareja': la fecha de pago se escribe a mano en la columna Fecha de Pago (no usa fórmula).</t>
        </is>
      </c>
    </row>
    <row r="24">
      <c r="A24" s="13" t="inlineStr">
        <is>
          <t>5) Segmentos: en 'Gastos' elige el Segmento de cada gasto (lista desplegable). La pestaña 'Segmentos' resume por ciclo de tarjeta:</t>
        </is>
      </c>
    </row>
    <row r="25">
      <c r="A25" s="13" t="inlineStr">
        <is>
          <t xml:space="preserve">   total por segmento, % de tu ingreso y un aproximado de lo que gastarás al corte. Llena tu ingreso (B3) y el tipo de cambio (B4).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2026-09-27T17:20:32Z</dcterms:created>
  <dcterms:modified xsi:type="dcterms:W3CDTF">2026-10-12T04:45:41Z</dcterms:modified>
</cp:coreProperties>
</file>