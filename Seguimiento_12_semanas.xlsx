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eme" sheetId="1" state="visible" r:id="rId3"/>
    <sheet name="Perfil" sheetId="2" state="visible" r:id="rId4"/>
    <sheet name="Plan_12sem" sheetId="3" state="visible" r:id="rId5"/>
    <sheet name="Alimentos" sheetId="4" state="visible" r:id="rId6"/>
    <sheet name="Menu_S1" sheetId="5" state="visible" r:id="rId7"/>
    <sheet name="Resumen_S1" sheetId="6" state="visible" r:id="rId8"/>
    <sheet name="Registro" sheetId="7" state="visible" r:id="rId9"/>
    <sheet name="Dia_Detalle" sheetId="8" state="visible" r:id="rId10"/>
    <sheet name="Control_Semanal" sheetId="9" state="visible" r:id="rId11"/>
    <sheet name="Peso" sheetId="10" state="visible" r:id="rId12"/>
    <sheet name="Reglas" sheetId="11" state="visible" r:id="rId13"/>
  </sheets>
  <definedNames>
    <definedName function="false" hidden="true" localSheetId="4" name="_xlnm._FilterDatabase" vbProcedure="false">Menu_S1!$A$4:$J$124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<sst xmlns="http://schemas.openxmlformats.org/spreadsheetml/2006/main" count="918" uniqueCount="338">
  <si>
    <t xml:space="preserve">Seguimiento nutricional · 12 semanas</t>
  </si>
  <si>
    <t xml:space="preserve">Cliente: mujer adulta · 165 cm · 64,5 kg → meta 61 kg · entrena 2–3 días/semana</t>
  </si>
  <si>
    <t xml:space="preserve">Cómo usar este libro</t>
  </si>
  <si>
    <t xml:space="preserve">1. Perfil</t>
  </si>
  <si>
    <t xml:space="preserve">Datos y supuestos (celdas azules = editables). Cambia edad, factor de actividad o gramos por medida casera y todo se recalcula.</t>
  </si>
  <si>
    <t xml:space="preserve">2. Plan_12sem</t>
  </si>
  <si>
    <t xml:space="preserve">Peso objetivo, calorías y macros por semana (fórmulas Mifflin-St Jeor), palancas de ajuste y pérdida esperada.</t>
  </si>
  <si>
    <t xml:space="preserve">3. Alimentos</t>
  </si>
  <si>
    <t xml:space="preserve">Base TPCA (INS, Perú) por 100 g. Es la tabla que alimenta todos los cálculos.</t>
  </si>
  <si>
    <t xml:space="preserve">4. Menu_S1 / Resumen_S1</t>
  </si>
  <si>
    <t xml:space="preserve">Menú planificado de la semana 1 con gramos, kcal y macros por día.</t>
  </si>
  <si>
    <t xml:space="preserve">5. Registro</t>
  </si>
  <si>
    <t xml:space="preserve">CADA FIN DE SEMANA: llenar semana, día, comida, alimento (lista), cantidad y unidad según la foto. Calcula solo.</t>
  </si>
  <si>
    <t xml:space="preserve">6. Dia_Detalle</t>
  </si>
  <si>
    <t xml:space="preserve">Elige la semana en C3 y ve día por día cuánto cumplió, cuánto falta o sobra.</t>
  </si>
  <si>
    <t xml:space="preserve">7. Control_Semanal</t>
  </si>
  <si>
    <t xml:space="preserve">Resumen de las 12 semanas: cumplimiento, faltante de kcal y proteína.</t>
  </si>
  <si>
    <t xml:space="preserve">8. Peso</t>
  </si>
  <si>
    <t xml:space="preserve">Registrar peso cada semana y rendimiento en gym (1–5). Incluye gráfico objetivo vs real.</t>
  </si>
  <si>
    <t xml:space="preserve">9. Reglas</t>
  </si>
  <si>
    <t xml:space="preserve">Palancas de ajuste y criterios de decisión para proteger el rendimiento.</t>
  </si>
  <si>
    <t xml:space="preserve">Supuestos importantes</t>
  </si>
  <si>
    <t xml:space="preserve">Edad</t>
  </si>
  <si>
    <t xml:space="preserve">No fue indicada: se asume 25 años (afecta ±50 kcal). Corregir en Perfil.</t>
  </si>
  <si>
    <t xml:space="preserve">Actividad</t>
  </si>
  <si>
    <t xml:space="preserve">Factor 1,35 = estudiante + gym 2–3 días/semana.</t>
  </si>
  <si>
    <t xml:space="preserve">Scoop de avena</t>
  </si>
  <si>
    <t xml:space="preserve">Se asume 25 g de hojuela cruda por scoop (verificar con balanza una vez).</t>
  </si>
  <si>
    <t xml:space="preserve">Rebanada de pan de molde</t>
  </si>
  <si>
    <t xml:space="preserve">Se asume 25 g por rebanada (verificar con el pan que usa).</t>
  </si>
  <si>
    <t xml:space="preserve">Cucharón de arroz</t>
  </si>
  <si>
    <t xml:space="preserve">70 g de arroz cocido por cucharón (3 cucharones ≈ 210 g).</t>
  </si>
  <si>
    <t xml:space="preserve">Papa grande</t>
  </si>
  <si>
    <t xml:space="preserve">150 g pelada y sancochada (2 papas ≈ 300 g).</t>
  </si>
  <si>
    <t xml:space="preserve">Tomatodo</t>
  </si>
  <si>
    <t xml:space="preserve">800 ml: 3 tomatodos ≈ 2,4 L.</t>
  </si>
  <si>
    <t xml:space="preserve">Estimación por foto</t>
  </si>
  <si>
    <t xml:space="preserve">Es aproximada (±10–15 %). Sirve para tendencia; el peso semanal es el control real.</t>
  </si>
  <si>
    <t xml:space="preserve">Perfil y supuestos</t>
  </si>
  <si>
    <t xml:space="preserve">Celdas azules = editables</t>
  </si>
  <si>
    <t xml:space="preserve">Sexo</t>
  </si>
  <si>
    <t xml:space="preserve">Mujer</t>
  </si>
  <si>
    <t xml:space="preserve">Edad (años) — supuesto</t>
  </si>
  <si>
    <t xml:space="preserve">Talla (cm)</t>
  </si>
  <si>
    <t xml:space="preserve">Peso inicial (kg)</t>
  </si>
  <si>
    <t xml:space="preserve">Peso meta semana 12 (kg)</t>
  </si>
  <si>
    <t xml:space="preserve">Factor de actividad (PAL)</t>
  </si>
  <si>
    <t xml:space="preserve">Proteína (g/kg)</t>
  </si>
  <si>
    <t xml:space="preserve">Grasa (g/kg)</t>
  </si>
  <si>
    <t xml:space="preserve">Piso de calorías (kcal/día)</t>
  </si>
  <si>
    <t xml:space="preserve">Inicio semana 1 (lunes)</t>
  </si>
  <si>
    <t xml:space="preserve">kcal por kg de peso</t>
  </si>
  <si>
    <t xml:space="preserve">Tomatodo (ml)</t>
  </si>
  <si>
    <t xml:space="preserve">Unidad (medida casera)</t>
  </si>
  <si>
    <t xml:space="preserve">Gramos por unidad</t>
  </si>
  <si>
    <t xml:space="preserve">rebanada</t>
  </si>
  <si>
    <t xml:space="preserve">scoop</t>
  </si>
  <si>
    <t xml:space="preserve">Scoop de avena (hojuela cruda)</t>
  </si>
  <si>
    <t xml:space="preserve">cucharón</t>
  </si>
  <si>
    <t xml:space="preserve">Cucharón de arroz cocido</t>
  </si>
  <si>
    <t xml:space="preserve">papa grande</t>
  </si>
  <si>
    <t xml:space="preserve">Papa grande pelada y sancochada</t>
  </si>
  <si>
    <t xml:space="preserve">cdta</t>
  </si>
  <si>
    <t xml:space="preserve">Cucharadita de aceite</t>
  </si>
  <si>
    <t xml:space="preserve">g</t>
  </si>
  <si>
    <t xml:space="preserve">Gramos (directo)</t>
  </si>
  <si>
    <t xml:space="preserve">Plan de 12 semanas</t>
  </si>
  <si>
    <t xml:space="preserve">64,5 kg → 61 kg · descenso progresivo (0,20 → 0,25 → 0,30 kg/sem) para cuidar el rendimiento en gym</t>
  </si>
  <si>
    <t xml:space="preserve">Sem</t>
  </si>
  <si>
    <t xml:space="preserve">Inicio</t>
  </si>
  <si>
    <t xml:space="preserve">Fin</t>
  </si>
  <si>
    <t xml:space="preserve">Peso objetivo fin de sem (kg)</t>
  </si>
  <si>
    <t xml:space="preserve">Peso inicio de sem (kg)</t>
  </si>
  <si>
    <t xml:space="preserve">Cambio esperado (kg)</t>
  </si>
  <si>
    <t xml:space="preserve">BMR (kcal)</t>
  </si>
  <si>
    <t xml:space="preserve">Gasto total GET (kcal)</t>
  </si>
  <si>
    <t xml:space="preserve">Déficit (kcal/día)</t>
  </si>
  <si>
    <t xml:space="preserve">META kcal/día</t>
  </si>
  <si>
    <t xml:space="preserve">Meta kcal/semana</t>
  </si>
  <si>
    <t xml:space="preserve">Proteína (g/día)</t>
  </si>
  <si>
    <t xml:space="preserve">Grasa (g/día)</t>
  </si>
  <si>
    <t xml:space="preserve">Carbo (g/día)</t>
  </si>
  <si>
    <t xml:space="preserve">Agua (L/día)</t>
  </si>
  <si>
    <t xml:space="preserve">Tomatodos</t>
  </si>
  <si>
    <t xml:space="preserve">L1 queso 100 g</t>
  </si>
  <si>
    <t xml:space="preserve">L2 cena carbo 1/4</t>
  </si>
  <si>
    <t xml:space="preserve">L3 almuerzo carbo 1/4</t>
  </si>
  <si>
    <t xml:space="preserve">L4 merienda avena 1,5</t>
  </si>
  <si>
    <t xml:space="preserve">L5 sin aceite</t>
  </si>
  <si>
    <t xml:space="preserve">Recorte vs plan S1 (kcal/día)</t>
  </si>
  <si>
    <t xml:space="preserve">kcal estimadas del plan</t>
  </si>
  <si>
    <t xml:space="preserve">Brecha vs meta (kcal)</t>
  </si>
  <si>
    <t xml:space="preserve">Pérdida esperada (kg/sem)</t>
  </si>
  <si>
    <t xml:space="preserve">Notas</t>
  </si>
  <si>
    <t xml:space="preserve">Plan base del cliente. Tomar fotos fin de semana.</t>
  </si>
  <si>
    <t xml:space="preserve">Primeros recortes suaves.</t>
  </si>
  <si>
    <t xml:space="preserve">Pesar 2 semanas seguidas antes de recortar más.</t>
  </si>
  <si>
    <t xml:space="preserve">Si el gym baja: +150 kcal pre-entreno (merienda) por 1 semana.</t>
  </si>
  <si>
    <t xml:space="preserve">Cierre: ver Reglas para mantenimiento.</t>
  </si>
  <si>
    <t xml:space="preserve">Lectura: META kcal es el objetivo fisiológico; 'kcal estimadas del plan' es lo que da el menú con las palancas activas. Brecha positiva = el plan aún está sobre la meta.</t>
  </si>
  <si>
    <t xml:space="preserve">Peso objetivo de la semana 12: 61,0 kg. Las variaciones de ±0,5 kg por agua/ciclo son normales: decidir con el promedio de 2 semanas.</t>
  </si>
  <si>
    <t xml:space="preserve">Base de alimentos (por 100 g)</t>
  </si>
  <si>
    <t xml:space="preserve">Fuente: Tablas Peruanas de Composición de Alimentos (INS/CENAN). Valores editables.</t>
  </si>
  <si>
    <t xml:space="preserve">Clave</t>
  </si>
  <si>
    <t xml:space="preserve">Alimento</t>
  </si>
  <si>
    <t xml:space="preserve">Código TPCA</t>
  </si>
  <si>
    <t xml:space="preserve">Estado</t>
  </si>
  <si>
    <t xml:space="preserve">kcal</t>
  </si>
  <si>
    <t xml:space="preserve">Proteína (g)</t>
  </si>
  <si>
    <t xml:space="preserve">Grasa (g)</t>
  </si>
  <si>
    <t xml:space="preserve">Carbohidrato (g)</t>
  </si>
  <si>
    <t xml:space="preserve">Categoría</t>
  </si>
  <si>
    <t xml:space="preserve">pan_molde</t>
  </si>
  <si>
    <t xml:space="preserve">Pan de molde</t>
  </si>
  <si>
    <t xml:space="preserve">A-47</t>
  </si>
  <si>
    <t xml:space="preserve">listo</t>
  </si>
  <si>
    <t xml:space="preserve">Desayuno/merienda</t>
  </si>
  <si>
    <t xml:space="preserve">pan_frances</t>
  </si>
  <si>
    <t xml:space="preserve">Pan francés fortificado</t>
  </si>
  <si>
    <t xml:space="preserve">A-49</t>
  </si>
  <si>
    <t xml:space="preserve">avena</t>
  </si>
  <si>
    <t xml:space="preserve">Avena, hojuela cruda</t>
  </si>
  <si>
    <t xml:space="preserve">A-7</t>
  </si>
  <si>
    <t xml:space="preserve">crudo</t>
  </si>
  <si>
    <t xml:space="preserve">quinua_hoj</t>
  </si>
  <si>
    <t xml:space="preserve">Quinua, hojuelas de</t>
  </si>
  <si>
    <t xml:space="preserve">A-59</t>
  </si>
  <si>
    <t xml:space="preserve">arroz</t>
  </si>
  <si>
    <t xml:space="preserve">Arroz pilado cocido</t>
  </si>
  <si>
    <t xml:space="preserve">A-2</t>
  </si>
  <si>
    <t xml:space="preserve">cocido</t>
  </si>
  <si>
    <t xml:space="preserve">Carbohidrato</t>
  </si>
  <si>
    <t xml:space="preserve">papa</t>
  </si>
  <si>
    <t xml:space="preserve">Papa blanca (pelada, sancochada)</t>
  </si>
  <si>
    <t xml:space="preserve">U-19</t>
  </si>
  <si>
    <t xml:space="preserve">papa_amar</t>
  </si>
  <si>
    <t xml:space="preserve">Papa amarilla sin cáscara</t>
  </si>
  <si>
    <t xml:space="preserve">U-18</t>
  </si>
  <si>
    <t xml:space="preserve">camote</t>
  </si>
  <si>
    <t xml:space="preserve">Camote amarillo sin cáscara</t>
  </si>
  <si>
    <t xml:space="preserve">U-3</t>
  </si>
  <si>
    <t xml:space="preserve">fideo</t>
  </si>
  <si>
    <t xml:space="preserve">Fideo tallarín sancochado</t>
  </si>
  <si>
    <t xml:space="preserve">A-23</t>
  </si>
  <si>
    <t xml:space="preserve">quinua_coc</t>
  </si>
  <si>
    <t xml:space="preserve">Quinua cocida</t>
  </si>
  <si>
    <t xml:space="preserve">A-53</t>
  </si>
  <si>
    <t xml:space="preserve">pollo_pech</t>
  </si>
  <si>
    <t xml:space="preserve">Pollo, pechuga sin piel (cruda)</t>
  </si>
  <si>
    <t xml:space="preserve">F-20</t>
  </si>
  <si>
    <t xml:space="preserve">Proteína</t>
  </si>
  <si>
    <t xml:space="preserve">pollo_pulpa</t>
  </si>
  <si>
    <t xml:space="preserve">Pollo, carne pulpa (cruda)</t>
  </si>
  <si>
    <t xml:space="preserve">F-26</t>
  </si>
  <si>
    <t xml:space="preserve">res_pulpa</t>
  </si>
  <si>
    <t xml:space="preserve">Res, carne pulpa (cruda)</t>
  </si>
  <si>
    <t xml:space="preserve">F-35</t>
  </si>
  <si>
    <t xml:space="preserve">tilapia</t>
  </si>
  <si>
    <t xml:space="preserve">Pescado tilapia (crudo)</t>
  </si>
  <si>
    <t xml:space="preserve">E-77</t>
  </si>
  <si>
    <t xml:space="preserve">trucha</t>
  </si>
  <si>
    <t xml:space="preserve">Pescado trucha (fresca)</t>
  </si>
  <si>
    <t xml:space="preserve">E-83</t>
  </si>
  <si>
    <t xml:space="preserve">bonito</t>
  </si>
  <si>
    <t xml:space="preserve">Pescado bonito (crudo)</t>
  </si>
  <si>
    <t xml:space="preserve">E-27</t>
  </si>
  <si>
    <t xml:space="preserve">merluza</t>
  </si>
  <si>
    <t xml:space="preserve">Pescado merluza (fresca)</t>
  </si>
  <si>
    <t xml:space="preserve">E-57</t>
  </si>
  <si>
    <t xml:space="preserve">atun_agua</t>
  </si>
  <si>
    <t xml:space="preserve">Atún enlatado en agua (escurrido)</t>
  </si>
  <si>
    <t xml:space="preserve">E-20</t>
  </si>
  <si>
    <t xml:space="preserve">huevo</t>
  </si>
  <si>
    <t xml:space="preserve">Huevo entero sancochado</t>
  </si>
  <si>
    <t xml:space="preserve">J-3</t>
  </si>
  <si>
    <t xml:space="preserve">clara</t>
  </si>
  <si>
    <t xml:space="preserve">Clara de huevo sancochada</t>
  </si>
  <si>
    <t xml:space="preserve">J-10</t>
  </si>
  <si>
    <t xml:space="preserve">lenteja</t>
  </si>
  <si>
    <t xml:space="preserve">Lentejas chicas cocidas</t>
  </si>
  <si>
    <t xml:space="preserve">T-53</t>
  </si>
  <si>
    <t xml:space="preserve">Proteína vegetal</t>
  </si>
  <si>
    <t xml:space="preserve">garbanzo</t>
  </si>
  <si>
    <t xml:space="preserve">Garbanzo cocido</t>
  </si>
  <si>
    <t xml:space="preserve">T-43</t>
  </si>
  <si>
    <t xml:space="preserve">queso</t>
  </si>
  <si>
    <t xml:space="preserve">Queso fresco de vaca</t>
  </si>
  <si>
    <t xml:space="preserve">G-14</t>
  </si>
  <si>
    <t xml:space="preserve">Grasa/lácteo</t>
  </si>
  <si>
    <t xml:space="preserve">palta</t>
  </si>
  <si>
    <t xml:space="preserve">Palta (pulpa)</t>
  </si>
  <si>
    <t xml:space="preserve">C-55</t>
  </si>
  <si>
    <t xml:space="preserve">lechuga</t>
  </si>
  <si>
    <t xml:space="preserve">Lechuga americana</t>
  </si>
  <si>
    <t xml:space="preserve">B-53</t>
  </si>
  <si>
    <t xml:space="preserve">Verdura</t>
  </si>
  <si>
    <t xml:space="preserve">tomate</t>
  </si>
  <si>
    <t xml:space="preserve">Tomate</t>
  </si>
  <si>
    <t xml:space="preserve">B-79</t>
  </si>
  <si>
    <t xml:space="preserve">zanahoria</t>
  </si>
  <si>
    <t xml:space="preserve">Zanahoria</t>
  </si>
  <si>
    <t xml:space="preserve">B-85</t>
  </si>
  <si>
    <t xml:space="preserve">brocoli</t>
  </si>
  <si>
    <t xml:space="preserve">Brócoli</t>
  </si>
  <si>
    <t xml:space="preserve">B-21</t>
  </si>
  <si>
    <t xml:space="preserve">crudo/vapor</t>
  </si>
  <si>
    <t xml:space="preserve">pimiento</t>
  </si>
  <si>
    <t xml:space="preserve">Pimiento rojo</t>
  </si>
  <si>
    <t xml:space="preserve">B-69</t>
  </si>
  <si>
    <t xml:space="preserve">col</t>
  </si>
  <si>
    <t xml:space="preserve">Col crespa o repollo</t>
  </si>
  <si>
    <t xml:space="preserve">B-32</t>
  </si>
  <si>
    <t xml:space="preserve">betarraga</t>
  </si>
  <si>
    <t xml:space="preserve">Betarraga</t>
  </si>
  <si>
    <t xml:space="preserve">U-31</t>
  </si>
  <si>
    <t xml:space="preserve">crudo/cocida</t>
  </si>
  <si>
    <t xml:space="preserve">espinaca</t>
  </si>
  <si>
    <t xml:space="preserve">Espinaca blanca</t>
  </si>
  <si>
    <t xml:space="preserve">B-44</t>
  </si>
  <si>
    <t xml:space="preserve">vainita</t>
  </si>
  <si>
    <t xml:space="preserve">Vainitas</t>
  </si>
  <si>
    <t xml:space="preserve">B-84</t>
  </si>
  <si>
    <t xml:space="preserve">cocida</t>
  </si>
  <si>
    <t xml:space="preserve">coliflor</t>
  </si>
  <si>
    <t xml:space="preserve">Coliflor sin tallo ni hojas</t>
  </si>
  <si>
    <t xml:space="preserve">B-38</t>
  </si>
  <si>
    <t xml:space="preserve">cebolla</t>
  </si>
  <si>
    <t xml:space="preserve">Cebolla blanca</t>
  </si>
  <si>
    <t xml:space="preserve">B-26</t>
  </si>
  <si>
    <t xml:space="preserve">aceite</t>
  </si>
  <si>
    <t xml:space="preserve">Aceite de oliva (valor estándar, no TPCA)</t>
  </si>
  <si>
    <t xml:space="preserve">EST</t>
  </si>
  <si>
    <t xml:space="preserve">—</t>
  </si>
  <si>
    <t xml:space="preserve">Menú semana 1 · 12 al 18 de octubre</t>
  </si>
  <si>
    <t xml:space="preserve">Cantidad × unidad = gramos. Valores nutricionales vía base TPCA.</t>
  </si>
  <si>
    <t xml:space="preserve">Día</t>
  </si>
  <si>
    <t xml:space="preserve">Comida</t>
  </si>
  <si>
    <t xml:space="preserve">Cantidad</t>
  </si>
  <si>
    <t xml:space="preserve">Unidad</t>
  </si>
  <si>
    <t xml:space="preserve">Gramos</t>
  </si>
  <si>
    <t xml:space="preserve">Lunes</t>
  </si>
  <si>
    <t xml:space="preserve">Desayuno</t>
  </si>
  <si>
    <t xml:space="preserve">Almuerzo</t>
  </si>
  <si>
    <t xml:space="preserve">Merienda</t>
  </si>
  <si>
    <t xml:space="preserve">Cena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</si>
  <si>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</si>
  <si>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</si>
  <si>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</si>
  <si>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</si>
  <si>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</si>
  <si>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</si>
  <si>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Resumen semana 1: plan vs meta</t>
  </si>
  <si>
    <t xml:space="preserve">Meta diaria tomada de Plan_12sem (fila semana 1)</t>
  </si>
  <si>
    <t xml:space="preserve">Total kcal</t>
  </si>
  <si>
    <t xml:space="preserve">Meta kcal/día</t>
  </si>
  <si>
    <t xml:space="preserve">Diferencia vs meta</t>
  </si>
  <si>
    <t xml:space="preserve">Meta proteína (g)</t>
  </si>
  <si>
    <t xml:space="preserve">Promedio</t>
  </si>
  <si>
    <t xml:space="preserve">Proteína por kg (promedio)</t>
  </si>
  <si>
    <t xml:space="preserve">Pérdida esperada con este plan (kg/sem)</t>
  </si>
  <si>
    <t xml:space="preserve">Nota: los días con queso (miércoles y sábado) suben ≈ +250 kcal; por eso el promedio queda sobre la meta de la semana 1.</t>
  </si>
  <si>
    <t xml:space="preserve">Registro semanal por foto</t>
  </si>
  <si>
    <t xml:space="preserve">Llenar cada fin de semana: una fila por alimento visto en la foto. Unidad 'g' para pesos directos.</t>
  </si>
  <si>
    <t xml:space="preserve">Tip: si solo se ve el plato, estimar con la regla 1/3 – 1/3 – 1/3 y la palma (150 g crudo).</t>
  </si>
  <si>
    <t xml:space="preserve">Semana</t>
  </si>
  <si>
    <t xml:space="preserve">Carbo (g)</t>
  </si>
  <si>
    <t xml:space="preserve">Fecha</t>
  </si>
  <si>
    <t xml:space="preserve">Detalle por día</t>
  </si>
  <si>
    <t xml:space="preserve">Elige la semana en C3</t>
  </si>
  <si>
    <t xml:space="preserve">Semana (1–12):</t>
  </si>
  <si>
    <t xml:space="preserve">Meta kcal/día:</t>
  </si>
  <si>
    <t xml:space="preserve">Meta proteína:</t>
  </si>
  <si>
    <t xml:space="preserve">kcal reales</t>
  </si>
  <si>
    <t xml:space="preserve">Meta kcal</t>
  </si>
  <si>
    <t xml:space="preserve">Dif. (real − meta)</t>
  </si>
  <si>
    <t xml:space="preserve">% cumplimiento</t>
  </si>
  <si>
    <t xml:space="preserve">Proteína real (g)</t>
  </si>
  <si>
    <t xml:space="preserve">Meta proteína</t>
  </si>
  <si>
    <t xml:space="preserve">Falta proteína (g)</t>
  </si>
  <si>
    <t xml:space="preserve">Nota: la fila Semana compara solo los días registrados. Si faltan días, completa el Registro.</t>
  </si>
  <si>
    <t xml:space="preserve">Control semanal (S1–S12)</t>
  </si>
  <si>
    <t xml:space="preserve">Promedios sobre los días registrados</t>
  </si>
  <si>
    <t xml:space="preserve">Días registrados</t>
  </si>
  <si>
    <t xml:space="preserve">kcal registradas</t>
  </si>
  <si>
    <t xml:space="preserve">Promedio real kcal/día</t>
  </si>
  <si>
    <t xml:space="preserve">Dif. vs meta/día</t>
  </si>
  <si>
    <t xml:space="preserve">Proteína real/día</t>
  </si>
  <si>
    <t xml:space="preserve">Falta proteína/día</t>
  </si>
  <si>
    <t xml:space="preserve">Grasa real/día</t>
  </si>
  <si>
    <t xml:space="preserve">Carbo real/día</t>
  </si>
  <si>
    <t xml:space="preserve">Faltante kcal (días reg.)</t>
  </si>
  <si>
    <t xml:space="preserve">Faltante kcal: positivo = comió menos que la meta; negativo = se pasó.</t>
  </si>
  <si>
    <t xml:space="preserve">Seguimiento de peso y rendimiento</t>
  </si>
  <si>
    <t xml:space="preserve">Pesar en ayunas, mismas condiciones. Rendimiento gym: 1 (bajo) a 5 (excelente).</t>
  </si>
  <si>
    <t xml:space="preserve">Peso objetivo (kg)</t>
  </si>
  <si>
    <t xml:space="preserve">Peso real (kg)</t>
  </si>
  <si>
    <t xml:space="preserve">Dif. vs objetivo</t>
  </si>
  <si>
    <t xml:space="preserve">Cambio vs sem. anterior</t>
  </si>
  <si>
    <t xml:space="preserve">Rendimiento gym (1–5)</t>
  </si>
  <si>
    <t xml:space="preserve">Semana 0 = peso inicial (lunes 12/10). Desde la semana 1, la fecha es el domingo de cierre de esa semana.</t>
  </si>
  <si>
    <t xml:space="preserve">Palancas y reglas de decisión</t>
  </si>
  <si>
    <t xml:space="preserve">Orden de aplicación: de menor a mayor impacto sobre el rendimiento</t>
  </si>
  <si>
    <t xml:space="preserve">Palanca</t>
  </si>
  <si>
    <t xml:space="preserve">Qué se hace</t>
  </si>
  <si>
    <t xml:space="preserve">kcal recortadas (promedio/día)</t>
  </si>
  <si>
    <t xml:space="preserve">Cuándo</t>
  </si>
  <si>
    <t xml:space="preserve">L1</t>
  </si>
  <si>
    <t xml:space="preserve">Queso fresco 150 g → 100 g (2 días/sem)</t>
  </si>
  <si>
    <t xml:space="preserve">Semana 2 en adelante</t>
  </si>
  <si>
    <t xml:space="preserve">L2</t>
  </si>
  <si>
    <t xml:space="preserve">Cena: carbohidrato de 1/3 a 1/4 de plato</t>
  </si>
  <si>
    <t xml:space="preserve">Semana 2</t>
  </si>
  <si>
    <t xml:space="preserve">L3</t>
  </si>
  <si>
    <t xml:space="preserve">Almuerzo: carbohidrato de 1/3 a 1/4 de plato (mantener en días de gym)</t>
  </si>
  <si>
    <t xml:space="preserve">Semana 3</t>
  </si>
  <si>
    <t xml:space="preserve">L4</t>
  </si>
  <si>
    <t xml:space="preserve">Merienda: avena 2 → 1,5 scoops (solo días SIN gym)</t>
  </si>
  <si>
    <t xml:space="preserve">Semana 4</t>
  </si>
  <si>
    <t xml:space="preserve">L5</t>
  </si>
  <si>
    <t xml:space="preserve">Sin aceite de oliva (cocinar en plancha antiadherente)</t>
  </si>
  <si>
    <t xml:space="preserve">Semana 5</t>
  </si>
  <si>
    <t xml:space="preserve">Reglas de decisión semanales</t>
  </si>
  <si>
    <t xml:space="preserve">1.</t>
  </si>
  <si>
    <t xml:space="preserve">Pesar siempre en las mismas condiciones (mañana, en ayunas, tras ir al baño). Usar el promedio de 2 semanas.</t>
  </si>
  <si>
    <t xml:space="preserve">2.</t>
  </si>
  <si>
    <t xml:space="preserve">Peso real ≤ objetivo + 0,2 kg → sin cambios.</t>
  </si>
  <si>
    <t xml:space="preserve">3.</t>
  </si>
  <si>
    <t xml:space="preserve">Peso real &gt; objetivo + 0,3 kg durante 2 semanas → activar la siguiente palanca no activa (L1 a L5).</t>
  </si>
  <si>
    <t xml:space="preserve">4.</t>
  </si>
  <si>
    <t xml:space="preserve">Baja &gt; 0,6 kg en una semana o cae el rendimiento (fuerza, repeticiones) 2 semanas seguidas → +150 kcal de carbohidrato pre-entreno por 1 semana.</t>
  </si>
  <si>
    <t xml:space="preserve">5.</t>
  </si>
  <si>
    <t xml:space="preserve">Proteína no se recorta: mantener ≈ 1,6 g/kg para proteger masa muscular.</t>
  </si>
  <si>
    <t xml:space="preserve">6.</t>
  </si>
  <si>
    <t xml:space="preserve">Hidratación: 3 tomatodos de agua mínimo, más en días de gym.</t>
  </si>
  <si>
    <t xml:space="preserve">7.</t>
  </si>
  <si>
    <t xml:space="preserve">Semana 12: pasar a mantenimiento (≈ GET) por 2 semanas antes de decidir si se baja más.</t>
  </si>
  <si>
    <t xml:space="preserve">8.</t>
  </si>
  <si>
    <t xml:space="preserve">Cumplimiento por foto: 'Cumple' si el promedio diario está dentro de ±5 % de la meta; 'Falta/Exceso' fuera de ese rango.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</si>
</sst>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/mm/yyyy"/>
    <numFmt numFmtId="166" formatCode="dd/mm"/>
    <numFmt numFmtId="167" formatCode="0.00"/>
    <numFmt numFmtId="168" formatCode="0"/>
    <numFmt numFmtId="169" formatCode="#,##0"/>
    <numFmt numFmtId="170" formatCode="0.0"/>
    <numFmt numFmtId="171" formatCode="\+0;\-0;0"/>
    <numFmt numFmtId="172" formatCode="0%"/>
    <numFmt numFmtId="173" formatCode="\+#,##0;\-#,##0;0"/>
    <numFmt numFmtId="174" formatCode="\+0.0;\-0.0;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F6B4F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2"/>
      <color rgb="FF2F6B4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8F1EC"/>
      </patternFill>
    </fill>
    <fill>
      <patternFill patternType="solid">
        <fgColor rgb="FF2F6B4F"/>
        <bgColor rgb="FF595959"/>
      </patternFill>
    </fill>
    <fill>
      <patternFill patternType="solid">
        <fgColor rgb="FFE8F1EC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8CBAD"/>
        </patternFill>
      </fill>
    </dxf>
    <dxf>
      <fill>
        <patternFill patternType="solid">
          <fgColor rgb="FF2F6B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4F"/>
      <rgbColor rgb="FFBFBFBF"/>
      <rgbColor rgb="FF878787"/>
      <rgbColor rgb="FF9999FF"/>
      <rgbColor rgb="FFBE4B48"/>
      <rgbColor rgb="FFE8F1E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Peso objetivo vs real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Peso!C4</c:f>
              <c:strCache>
                <c:ptCount val="1"/>
                <c:pt idx="0">
                  <c:v>Peso objetivo (kg)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Peso!$A$5:$A$17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Peso!$C$5:$C$17</c:f>
              <c:numCache>
                <c:formatCode>0.00</c:formatCode>
                <c:ptCount val="13"/>
                <c:pt idx="0">
                  <c:v>64.5</c:v>
                </c:pt>
                <c:pt idx="1">
                  <c:v>64.3</c:v>
                </c:pt>
                <c:pt idx="2">
                  <c:v>64.05</c:v>
                </c:pt>
                <c:pt idx="3">
                  <c:v>63.75</c:v>
                </c:pt>
                <c:pt idx="4">
                  <c:v>63.45</c:v>
                </c:pt>
                <c:pt idx="5">
                  <c:v>63.15</c:v>
                </c:pt>
                <c:pt idx="6">
                  <c:v>62.85</c:v>
                </c:pt>
                <c:pt idx="7">
                  <c:v>62.55</c:v>
                </c:pt>
                <c:pt idx="8">
                  <c:v>62.25</c:v>
                </c:pt>
                <c:pt idx="9">
                  <c:v>61.95</c:v>
                </c:pt>
                <c:pt idx="10">
                  <c:v>61.65</c:v>
                </c:pt>
                <c:pt idx="11">
                  <c:v>61.35</c:v>
                </c:pt>
                <c:pt idx="12">
                  <c:v>61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Peso!D4</c:f>
              <c:strCache>
                <c:ptCount val="1"/>
                <c:pt idx="0">
                  <c:v>Peso real (kg)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Peso!$A$5:$A$17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Peso!$D$5:$D$17</c:f>
              <c:numCache>
                <c:formatCode>0.0</c:formatCode>
                <c:ptCount val="13"/>
                <c:pt idx="0">
                  <c:v>64.5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586727"/>
        <c:axId val="76679833"/>
      </c:lineChart>
      <c:catAx>
        <c:axId val="195867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79833"/>
        <c:crosses val="autoZero"/>
        <c:auto val="1"/>
        <c:lblAlgn val="ctr"/>
        <c:lblOffset val="100"/>
        <c:noMultiLvlLbl val="0"/>
      </c:catAx>
      <c:valAx>
        <c:axId val="76679833"/>
        <c:scaling>
          <c:orientation val="minMax"/>
          <c:max val="65"/>
          <c:min val="6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867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145440</xdr:rowOff>
    </xdr:from>
    <xdr:to>
      <xdr:col>20</xdr:col>
      <xdr:colOff>364680</xdr:colOff>
      <xdr:row>16</xdr:row>
      <xdr:rowOff>120240</xdr:rowOff>
    </xdr:to>
    <xdr:graphicFrame>
      <xdr:nvGraphicFramePr>
        <xdr:cNvPr id="0" name="Chart 1"/>
        <xdr:cNvGraphicFramePr/>
      </xdr:nvGraphicFramePr>
      <xdr:xfrm>
        <a:off x="1125468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 t="s">
        <v>15</v>
      </c>
      <c r="B11" s="4" t="s">
        <v>16</v>
      </c>
    </row>
    <row r="12" customFormat="false" ht="15" hidden="false" customHeight="false" outlineLevel="0" collapsed="false">
      <c r="A12" s="5" t="s">
        <v>17</v>
      </c>
      <c r="B12" s="4" t="s">
        <v>18</v>
      </c>
    </row>
    <row r="13" customFormat="false" ht="15" hidden="false" customHeight="false" outlineLevel="0" collapsed="false">
      <c r="A13" s="5" t="s">
        <v>19</v>
      </c>
      <c r="B13" s="4" t="s">
        <v>20</v>
      </c>
    </row>
    <row r="14" customFormat="false" ht="15" hidden="false" customHeight="false" outlineLevel="0" collapsed="false">
      <c r="A14" s="5"/>
      <c r="B14" s="4"/>
    </row>
    <row r="15" customFormat="false" ht="15" hidden="false" customHeight="false" outlineLevel="0" collapsed="false">
      <c r="A15" s="3" t="s">
        <v>21</v>
      </c>
      <c r="B15" s="4"/>
    </row>
    <row r="16" customFormat="false" ht="15" hidden="false" customHeight="false" outlineLevel="0" collapsed="false">
      <c r="A16" s="5" t="s">
        <v>22</v>
      </c>
      <c r="B16" s="4" t="s">
        <v>23</v>
      </c>
    </row>
    <row r="17" customFormat="false" ht="15" hidden="false" customHeight="false" outlineLevel="0" collapsed="false">
      <c r="A17" s="5" t="s">
        <v>24</v>
      </c>
      <c r="B17" s="4" t="s">
        <v>25</v>
      </c>
    </row>
    <row r="18" customFormat="false" ht="15" hidden="false" customHeight="false" outlineLevel="0" collapsed="false">
      <c r="A18" s="5" t="s">
        <v>26</v>
      </c>
      <c r="B18" s="4" t="s">
        <v>27</v>
      </c>
    </row>
    <row r="19" customFormat="false" ht="15" hidden="false" customHeight="false" outlineLevel="0" collapsed="false">
      <c r="A19" s="5" t="s">
        <v>28</v>
      </c>
      <c r="B19" s="4" t="s">
        <v>29</v>
      </c>
    </row>
    <row r="20" customFormat="false" ht="15" hidden="false" customHeight="false" outlineLevel="0" collapsed="false">
      <c r="A20" s="5" t="s">
        <v>30</v>
      </c>
      <c r="B20" s="4" t="s">
        <v>31</v>
      </c>
    </row>
    <row r="21" customFormat="false" ht="15" hidden="false" customHeight="false" outlineLevel="0" collapsed="false">
      <c r="A21" s="5" t="s">
        <v>32</v>
      </c>
      <c r="B21" s="4" t="s">
        <v>33</v>
      </c>
    </row>
    <row r="22" customFormat="false" ht="15" hidden="false" customHeight="false" outlineLevel="0" collapsed="false">
      <c r="A22" s="5" t="s">
        <v>34</v>
      </c>
      <c r="B22" s="4" t="s">
        <v>35</v>
      </c>
    </row>
    <row r="23" customFormat="false" ht="15" hidden="false" customHeight="false" outlineLevel="0" collapsed="false">
      <c r="A23" s="5" t="s">
        <v>36</v>
      </c>
      <c r="B23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34"/>
  </cols>
  <sheetData>
    <row r="1" customFormat="false" ht="18.5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15" hidden="false" customHeight="false" outlineLevel="0" collapsed="false">
      <c r="B4" s="0" t="s">
        <v>40</v>
      </c>
      <c r="C4" s="6" t="s">
        <v>41</v>
      </c>
    </row>
    <row r="5" customFormat="false" ht="15" hidden="false" customHeight="false" outlineLevel="0" collapsed="false">
      <c r="B5" s="0" t="s">
        <v>42</v>
      </c>
      <c r="C5" s="6" t="n">
        <v>25</v>
      </c>
    </row>
    <row r="6" customFormat="false" ht="15" hidden="false" customHeight="false" outlineLevel="0" collapsed="false">
      <c r="B6" s="0" t="s">
        <v>43</v>
      </c>
      <c r="C6" s="6" t="n">
        <v>165</v>
      </c>
    </row>
    <row r="7" customFormat="false" ht="15" hidden="false" customHeight="false" outlineLevel="0" collapsed="false">
      <c r="B7" s="0" t="s">
        <v>44</v>
      </c>
      <c r="C7" s="6" t="n">
        <v>64.5</v>
      </c>
    </row>
    <row r="8" customFormat="false" ht="15" hidden="false" customHeight="false" outlineLevel="0" collapsed="false">
      <c r="B8" s="0" t="s">
        <v>45</v>
      </c>
      <c r="C8" s="6" t="n">
        <v>61</v>
      </c>
    </row>
    <row r="9" customFormat="false" ht="15" hidden="false" customHeight="false" outlineLevel="0" collapsed="false">
      <c r="B9" s="0" t="s">
        <v>46</v>
      </c>
      <c r="C9" s="6" t="n">
        <v>1.35</v>
      </c>
    </row>
    <row r="10" customFormat="false" ht="15" hidden="false" customHeight="false" outlineLevel="0" collapsed="false">
      <c r="B10" s="0" t="s">
        <v>47</v>
      </c>
      <c r="C10" s="6" t="n">
        <v>1.6</v>
      </c>
    </row>
    <row r="11" customFormat="false" ht="15" hidden="false" customHeight="false" outlineLevel="0" collapsed="false">
      <c r="B11" s="0" t="s">
        <v>48</v>
      </c>
      <c r="C11" s="6" t="n">
        <v>0.6</v>
      </c>
    </row>
    <row r="12" customFormat="false" ht="15" hidden="false" customHeight="false" outlineLevel="0" collapsed="false">
      <c r="B12" s="0" t="s">
        <v>49</v>
      </c>
      <c r="C12" s="6" t="n">
        <v>1500</v>
      </c>
    </row>
    <row r="13" customFormat="false" ht="15" hidden="false" customHeight="false" outlineLevel="0" collapsed="false">
      <c r="B13" s="0" t="s">
        <v>50</v>
      </c>
      <c r="C13" s="7" t="n">
        <v>46307</v>
      </c>
    </row>
    <row r="14" customFormat="false" ht="15" hidden="false" customHeight="false" outlineLevel="0" collapsed="false">
      <c r="B14" s="0" t="s">
        <v>51</v>
      </c>
      <c r="C14" s="6" t="n">
        <v>7700</v>
      </c>
    </row>
    <row r="15" customFormat="false" ht="15" hidden="false" customHeight="false" outlineLevel="0" collapsed="false">
      <c r="B15" s="0" t="s">
        <v>52</v>
      </c>
      <c r="C15" s="6" t="n">
        <v>800</v>
      </c>
    </row>
    <row r="18" customFormat="false" ht="33.75" hidden="false" customHeight="true" outlineLevel="0" collapsed="false">
      <c r="B18" s="8" t="s">
        <v>53</v>
      </c>
      <c r="C18" s="8" t="s">
        <v>54</v>
      </c>
    </row>
    <row r="19" customFormat="false" ht="15" hidden="false" customHeight="false" outlineLevel="0" collapsed="false">
      <c r="B19" s="0" t="s">
        <v>55</v>
      </c>
      <c r="C19" s="6" t="n">
        <v>25</v>
      </c>
      <c r="E19" s="9" t="s">
        <v>28</v>
      </c>
    </row>
    <row r="20" customFormat="false" ht="15" hidden="false" customHeight="false" outlineLevel="0" collapsed="false">
      <c r="B20" s="0" t="s">
        <v>56</v>
      </c>
      <c r="C20" s="6" t="n">
        <v>25</v>
      </c>
      <c r="E20" s="9" t="s">
        <v>57</v>
      </c>
    </row>
    <row r="21" customFormat="false" ht="15" hidden="false" customHeight="false" outlineLevel="0" collapsed="false">
      <c r="B21" s="0" t="s">
        <v>58</v>
      </c>
      <c r="C21" s="6" t="n">
        <v>70</v>
      </c>
      <c r="E21" s="9" t="s">
        <v>59</v>
      </c>
    </row>
    <row r="22" customFormat="false" ht="15" hidden="false" customHeight="false" outlineLevel="0" collapsed="false">
      <c r="B22" s="0" t="s">
        <v>60</v>
      </c>
      <c r="C22" s="6" t="n">
        <v>150</v>
      </c>
      <c r="E22" s="9" t="s">
        <v>61</v>
      </c>
    </row>
    <row r="23" customFormat="false" ht="15" hidden="false" customHeight="false" outlineLevel="0" collapsed="false">
      <c r="B23" s="0" t="s">
        <v>62</v>
      </c>
      <c r="C23" s="6" t="n">
        <v>5</v>
      </c>
      <c r="E23" s="9" t="s">
        <v>63</v>
      </c>
    </row>
    <row r="24" customFormat="false" ht="15" hidden="false" customHeight="false" outlineLevel="0" collapsed="false">
      <c r="B24" s="0" t="s">
        <v>64</v>
      </c>
      <c r="C24" s="6" t="n">
        <v>1</v>
      </c>
      <c r="E24" s="9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9"/>
    <col collapsed="false" customWidth="true" hidden="false" outlineLevel="0" max="5" min="4" style="0" width="13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2" min="10" style="0" width="11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20" min="16" style="0" width="10"/>
    <col collapsed="false" customWidth="true" hidden="false" outlineLevel="0" max="21" min="21" style="0" width="9"/>
    <col collapsed="false" customWidth="true" hidden="false" outlineLevel="0" max="23" min="22" style="0" width="12"/>
    <col collapsed="false" customWidth="true" hidden="false" outlineLevel="0" max="24" min="24" style="0" width="11"/>
    <col collapsed="false" customWidth="true" hidden="false" outlineLevel="0" max="25" min="25" style="0" width="12"/>
    <col collapsed="false" customWidth="true" hidden="false" outlineLevel="0" max="26" min="26" style="0" width="48"/>
  </cols>
  <sheetData>
    <row r="1" customFormat="false" ht="18.5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4" customFormat="false" ht="61.5" hidden="false" customHeight="true" outlineLevel="0" collapsed="false">
      <c r="A4" s="8" t="s">
        <v>68</v>
      </c>
      <c r="B4" s="8" t="s">
        <v>69</v>
      </c>
      <c r="C4" s="8" t="s">
        <v>70</v>
      </c>
      <c r="D4" s="8" t="s">
        <v>71</v>
      </c>
      <c r="E4" s="8" t="s">
        <v>72</v>
      </c>
      <c r="F4" s="8" t="s">
        <v>73</v>
      </c>
      <c r="G4" s="8" t="s">
        <v>74</v>
      </c>
      <c r="H4" s="8" t="s">
        <v>75</v>
      </c>
      <c r="I4" s="8" t="s">
        <v>76</v>
      </c>
      <c r="J4" s="8" t="s">
        <v>77</v>
      </c>
      <c r="K4" s="8" t="s">
        <v>78</v>
      </c>
      <c r="L4" s="8" t="s">
        <v>79</v>
      </c>
      <c r="M4" s="8" t="s">
        <v>80</v>
      </c>
      <c r="N4" s="8" t="s">
        <v>81</v>
      </c>
      <c r="O4" s="8" t="s">
        <v>82</v>
      </c>
      <c r="P4" s="8" t="s">
        <v>83</v>
      </c>
      <c r="Q4" s="8" t="s">
        <v>84</v>
      </c>
      <c r="R4" s="8" t="s">
        <v>85</v>
      </c>
      <c r="S4" s="8" t="s">
        <v>86</v>
      </c>
      <c r="T4" s="8" t="s">
        <v>87</v>
      </c>
      <c r="U4" s="8" t="s">
        <v>88</v>
      </c>
      <c r="V4" s="8" t="s">
        <v>89</v>
      </c>
      <c r="W4" s="8" t="s">
        <v>90</v>
      </c>
      <c r="X4" s="8" t="s">
        <v>91</v>
      </c>
      <c r="Y4" s="8" t="s">
        <v>92</v>
      </c>
      <c r="Z4" s="8" t="s">
        <v>93</v>
      </c>
    </row>
    <row r="5" customFormat="false" ht="15" hidden="false" customHeight="false" outlineLevel="0" collapsed="false">
      <c r="A5" s="10" t="n">
        <v>1</v>
      </c>
      <c r="B5" s="11" t="n">
        <f aca="false">Perfil!$C$13+(A5-1)*7</f>
        <v>46307</v>
      </c>
      <c r="C5" s="11" t="n">
        <f aca="false">B5+6</f>
        <v>46313</v>
      </c>
      <c r="D5" s="12" t="n">
        <v>64.3</v>
      </c>
      <c r="E5" s="13" t="n">
        <f aca="false">Perfil!$C$7</f>
        <v>64.5</v>
      </c>
      <c r="F5" s="13" t="n">
        <f aca="false">E5-D5</f>
        <v>0.200000000000003</v>
      </c>
      <c r="G5" s="14" t="n">
        <f aca="false">10*E5+6.25*Perfil!$C$6-5*Perfil!$C$5-161</f>
        <v>1390.25</v>
      </c>
      <c r="H5" s="14" t="n">
        <f aca="false">G5*Perfil!$C$9</f>
        <v>1876.8375</v>
      </c>
      <c r="I5" s="14" t="n">
        <f aca="false">F5*Perfil!$C$14/7</f>
        <v>220.000000000003</v>
      </c>
      <c r="J5" s="15" t="n">
        <f aca="false">MAX(Perfil!$C$12,ROUND(H5-I5,-1))</f>
        <v>1660</v>
      </c>
      <c r="K5" s="16" t="n">
        <f aca="false">J5*7</f>
        <v>11620</v>
      </c>
      <c r="L5" s="10" t="n">
        <f aca="false">ROUND(E5*Perfil!$C$10,0)</f>
        <v>103</v>
      </c>
      <c r="M5" s="10" t="n">
        <f aca="false">ROUND(E5*Perfil!$C$11,0)</f>
        <v>39</v>
      </c>
      <c r="N5" s="10" t="n">
        <f aca="false">ROUND((J5-4*L5-9*M5)/4,0)</f>
        <v>224</v>
      </c>
      <c r="O5" s="17" t="n">
        <f aca="false">ROUND(E5*0.037,1)</f>
        <v>2.4</v>
      </c>
      <c r="P5" s="17" t="n">
        <f aca="false">ROUND(O5*1000/Perfil!$C$15,1)</f>
        <v>3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14" t="n">
        <f aca="false">Q5*Reglas!$C$6+R5*Reglas!$C$7+S5*Reglas!$C$8+T5*Reglas!$C$9+U5*Reglas!$C$10</f>
        <v>0</v>
      </c>
      <c r="W5" s="14" t="n">
        <f aca="false">Resumen_S1!$F$12-V5</f>
        <v>1762.81428571429</v>
      </c>
      <c r="X5" s="18" t="n">
        <f aca="false">W5-J5</f>
        <v>102.814285714286</v>
      </c>
      <c r="Y5" s="13" t="n">
        <f aca="false">(H5-W5)*7/Perfil!$C$14</f>
        <v>0.103657467532467</v>
      </c>
      <c r="Z5" s="10" t="s">
        <v>94</v>
      </c>
    </row>
    <row r="6" customFormat="false" ht="15" hidden="false" customHeight="false" outlineLevel="0" collapsed="false">
      <c r="A6" s="10" t="n">
        <v>2</v>
      </c>
      <c r="B6" s="11" t="n">
        <f aca="false">Perfil!$C$13+(A6-1)*7</f>
        <v>46314</v>
      </c>
      <c r="C6" s="11" t="n">
        <f aca="false">B6+6</f>
        <v>46320</v>
      </c>
      <c r="D6" s="12" t="n">
        <v>64.05</v>
      </c>
      <c r="E6" s="13" t="n">
        <f aca="false">D5</f>
        <v>64.3</v>
      </c>
      <c r="F6" s="13" t="n">
        <f aca="false">E6-D6</f>
        <v>0.25</v>
      </c>
      <c r="G6" s="14" t="n">
        <f aca="false">10*E6+6.25*Perfil!$C$6-5*Perfil!$C$5-161</f>
        <v>1388.25</v>
      </c>
      <c r="H6" s="14" t="n">
        <f aca="false">G6*Perfil!$C$9</f>
        <v>1874.1375</v>
      </c>
      <c r="I6" s="14" t="n">
        <f aca="false">F6*Perfil!$C$14/7</f>
        <v>275</v>
      </c>
      <c r="J6" s="15" t="n">
        <f aca="false">MAX(Perfil!$C$12,ROUND(H6-I6,-1))</f>
        <v>1600</v>
      </c>
      <c r="K6" s="16" t="n">
        <f aca="false">J6*7</f>
        <v>11200</v>
      </c>
      <c r="L6" s="10" t="n">
        <f aca="false">ROUND(E6*Perfil!$C$10,0)</f>
        <v>103</v>
      </c>
      <c r="M6" s="10" t="n">
        <f aca="false">ROUND(E6*Perfil!$C$11,0)</f>
        <v>39</v>
      </c>
      <c r="N6" s="10" t="n">
        <f aca="false">ROUND((J6-4*L6-9*M6)/4,0)</f>
        <v>209</v>
      </c>
      <c r="O6" s="17" t="n">
        <f aca="false">ROUND(E6*0.037,1)</f>
        <v>2.4</v>
      </c>
      <c r="P6" s="17" t="n">
        <f aca="false">ROUND(O6*1000/Perfil!$C$15,1)</f>
        <v>3</v>
      </c>
      <c r="Q6" s="6" t="n">
        <v>1</v>
      </c>
      <c r="R6" s="6" t="n">
        <v>1</v>
      </c>
      <c r="S6" s="6" t="n">
        <v>0</v>
      </c>
      <c r="T6" s="6" t="n">
        <v>0</v>
      </c>
      <c r="U6" s="6" t="n">
        <v>0</v>
      </c>
      <c r="V6" s="14" t="n">
        <f aca="false">Q6*Reglas!$C$6+R6*Reglas!$C$7+S6*Reglas!$C$8+T6*Reglas!$C$9+U6*Reglas!$C$10</f>
        <v>93</v>
      </c>
      <c r="W6" s="14" t="n">
        <f aca="false">Resumen_S1!$F$12-V6</f>
        <v>1669.81428571429</v>
      </c>
      <c r="X6" s="18" t="n">
        <f aca="false">W6-J6</f>
        <v>69.8142857142859</v>
      </c>
      <c r="Y6" s="13" t="n">
        <f aca="false">(H6-W6)*7/Perfil!$C$14</f>
        <v>0.185748376623376</v>
      </c>
      <c r="Z6" s="10" t="s">
        <v>95</v>
      </c>
    </row>
    <row r="7" customFormat="false" ht="15" hidden="false" customHeight="false" outlineLevel="0" collapsed="false">
      <c r="A7" s="10" t="n">
        <v>3</v>
      </c>
      <c r="B7" s="11" t="n">
        <f aca="false">Perfil!$C$13+(A7-1)*7</f>
        <v>46321</v>
      </c>
      <c r="C7" s="11" t="n">
        <f aca="false">B7+6</f>
        <v>46327</v>
      </c>
      <c r="D7" s="12" t="n">
        <v>63.75</v>
      </c>
      <c r="E7" s="13" t="n">
        <f aca="false">D6</f>
        <v>64.05</v>
      </c>
      <c r="F7" s="13" t="n">
        <f aca="false">E7-D7</f>
        <v>0.299999999999997</v>
      </c>
      <c r="G7" s="14" t="n">
        <f aca="false">10*E7+6.25*Perfil!$C$6-5*Perfil!$C$5-161</f>
        <v>1385.75</v>
      </c>
      <c r="H7" s="14" t="n">
        <f aca="false">G7*Perfil!$C$9</f>
        <v>1870.7625</v>
      </c>
      <c r="I7" s="14" t="n">
        <f aca="false">F7*Perfil!$C$14/7</f>
        <v>329.999999999997</v>
      </c>
      <c r="J7" s="15" t="n">
        <f aca="false">MAX(Perfil!$C$12,ROUND(H7-I7,-1))</f>
        <v>1540</v>
      </c>
      <c r="K7" s="16" t="n">
        <f aca="false">J7*7</f>
        <v>10780</v>
      </c>
      <c r="L7" s="10" t="n">
        <f aca="false">ROUND(E7*Perfil!$C$10,0)</f>
        <v>102</v>
      </c>
      <c r="M7" s="10" t="n">
        <f aca="false">ROUND(E7*Perfil!$C$11,0)</f>
        <v>38</v>
      </c>
      <c r="N7" s="10" t="n">
        <f aca="false">ROUND((J7-4*L7-9*M7)/4,0)</f>
        <v>198</v>
      </c>
      <c r="O7" s="17" t="n">
        <f aca="false">ROUND(E7*0.037,1)</f>
        <v>2.4</v>
      </c>
      <c r="P7" s="17" t="n">
        <f aca="false">ROUND(O7*1000/Perfil!$C$15,1)</f>
        <v>3</v>
      </c>
      <c r="Q7" s="6" t="n">
        <v>1</v>
      </c>
      <c r="R7" s="6" t="n">
        <v>1</v>
      </c>
      <c r="S7" s="6" t="n">
        <v>1</v>
      </c>
      <c r="T7" s="6" t="n">
        <v>0</v>
      </c>
      <c r="U7" s="6" t="n">
        <v>0</v>
      </c>
      <c r="V7" s="14" t="n">
        <f aca="false">Q7*Reglas!$C$6+R7*Reglas!$C$7+S7*Reglas!$C$8+T7*Reglas!$C$9+U7*Reglas!$C$10</f>
        <v>153</v>
      </c>
      <c r="W7" s="14" t="n">
        <f aca="false">Resumen_S1!$F$12-V7</f>
        <v>1609.81428571429</v>
      </c>
      <c r="X7" s="18" t="n">
        <f aca="false">W7-J7</f>
        <v>69.8142857142859</v>
      </c>
      <c r="Y7" s="13" t="n">
        <f aca="false">(H7-W7)*7/Perfil!$C$14</f>
        <v>0.237225649350649</v>
      </c>
      <c r="Z7" s="10"/>
    </row>
    <row r="8" customFormat="false" ht="15" hidden="false" customHeight="false" outlineLevel="0" collapsed="false">
      <c r="A8" s="10" t="n">
        <v>4</v>
      </c>
      <c r="B8" s="11" t="n">
        <f aca="false">Perfil!$C$13+(A8-1)*7</f>
        <v>46328</v>
      </c>
      <c r="C8" s="11" t="n">
        <f aca="false">B8+6</f>
        <v>46334</v>
      </c>
      <c r="D8" s="12" t="n">
        <v>63.45</v>
      </c>
      <c r="E8" s="13" t="n">
        <f aca="false">D7</f>
        <v>63.75</v>
      </c>
      <c r="F8" s="13" t="n">
        <f aca="false">E8-D8</f>
        <v>0.299999999999997</v>
      </c>
      <c r="G8" s="14" t="n">
        <f aca="false">10*E8+6.25*Perfil!$C$6-5*Perfil!$C$5-161</f>
        <v>1382.75</v>
      </c>
      <c r="H8" s="14" t="n">
        <f aca="false">G8*Perfil!$C$9</f>
        <v>1866.7125</v>
      </c>
      <c r="I8" s="14" t="n">
        <f aca="false">F8*Perfil!$C$14/7</f>
        <v>329.999999999997</v>
      </c>
      <c r="J8" s="15" t="n">
        <f aca="false">MAX(Perfil!$C$12,ROUND(H8-I8,-1))</f>
        <v>1540</v>
      </c>
      <c r="K8" s="16" t="n">
        <f aca="false">J8*7</f>
        <v>10780</v>
      </c>
      <c r="L8" s="10" t="n">
        <f aca="false">ROUND(E8*Perfil!$C$10,0)</f>
        <v>102</v>
      </c>
      <c r="M8" s="10" t="n">
        <f aca="false">ROUND(E8*Perfil!$C$11,0)</f>
        <v>38</v>
      </c>
      <c r="N8" s="10" t="n">
        <f aca="false">ROUND((J8-4*L8-9*M8)/4,0)</f>
        <v>198</v>
      </c>
      <c r="O8" s="17" t="n">
        <f aca="false">ROUND(E8*0.037,1)</f>
        <v>2.4</v>
      </c>
      <c r="P8" s="17" t="n">
        <f aca="false">ROUND(O8*1000/Perfil!$C$15,1)</f>
        <v>3</v>
      </c>
      <c r="Q8" s="6" t="n">
        <v>1</v>
      </c>
      <c r="R8" s="6" t="n">
        <v>1</v>
      </c>
      <c r="S8" s="6" t="n">
        <v>1</v>
      </c>
      <c r="T8" s="6" t="n">
        <v>1</v>
      </c>
      <c r="U8" s="6" t="n">
        <v>0</v>
      </c>
      <c r="V8" s="14" t="n">
        <f aca="false">Q8*Reglas!$C$6+R8*Reglas!$C$7+S8*Reglas!$C$8+T8*Reglas!$C$9+U8*Reglas!$C$10</f>
        <v>195</v>
      </c>
      <c r="W8" s="14" t="n">
        <f aca="false">Resumen_S1!$F$12-V8</f>
        <v>1567.81428571429</v>
      </c>
      <c r="X8" s="18" t="n">
        <f aca="false">W8-J8</f>
        <v>27.8142857142859</v>
      </c>
      <c r="Y8" s="13" t="n">
        <f aca="false">(H8-W8)*7/Perfil!$C$14</f>
        <v>0.271725649350649</v>
      </c>
      <c r="Z8" s="10"/>
    </row>
    <row r="9" customFormat="false" ht="15" hidden="false" customHeight="false" outlineLevel="0" collapsed="false">
      <c r="A9" s="10" t="n">
        <v>5</v>
      </c>
      <c r="B9" s="11" t="n">
        <f aca="false">Perfil!$C$13+(A9-1)*7</f>
        <v>46335</v>
      </c>
      <c r="C9" s="11" t="n">
        <f aca="false">B9+6</f>
        <v>46341</v>
      </c>
      <c r="D9" s="12" t="n">
        <v>63.15</v>
      </c>
      <c r="E9" s="13" t="n">
        <f aca="false">D8</f>
        <v>63.45</v>
      </c>
      <c r="F9" s="13" t="n">
        <f aca="false">E9-D9</f>
        <v>0.300000000000004</v>
      </c>
      <c r="G9" s="14" t="n">
        <f aca="false">10*E9+6.25*Perfil!$C$6-5*Perfil!$C$5-161</f>
        <v>1379.75</v>
      </c>
      <c r="H9" s="14" t="n">
        <f aca="false">G9*Perfil!$C$9</f>
        <v>1862.6625</v>
      </c>
      <c r="I9" s="14" t="n">
        <f aca="false">F9*Perfil!$C$14/7</f>
        <v>330.000000000005</v>
      </c>
      <c r="J9" s="15" t="n">
        <f aca="false">MAX(Perfil!$C$12,ROUND(H9-I9,-1))</f>
        <v>1530</v>
      </c>
      <c r="K9" s="16" t="n">
        <f aca="false">J9*7</f>
        <v>10710</v>
      </c>
      <c r="L9" s="10" t="n">
        <f aca="false">ROUND(E9*Perfil!$C$10,0)</f>
        <v>102</v>
      </c>
      <c r="M9" s="10" t="n">
        <f aca="false">ROUND(E9*Perfil!$C$11,0)</f>
        <v>38</v>
      </c>
      <c r="N9" s="10" t="n">
        <f aca="false">ROUND((J9-4*L9-9*M9)/4,0)</f>
        <v>195</v>
      </c>
      <c r="O9" s="17" t="n">
        <f aca="false">ROUND(E9*0.037,1)</f>
        <v>2.3</v>
      </c>
      <c r="P9" s="17" t="n">
        <f aca="false">ROUND(O9*1000/Perfil!$C$15,1)</f>
        <v>2.9</v>
      </c>
      <c r="Q9" s="6" t="n">
        <v>1</v>
      </c>
      <c r="R9" s="6" t="n">
        <v>1</v>
      </c>
      <c r="S9" s="6" t="n">
        <v>1</v>
      </c>
      <c r="T9" s="6" t="n">
        <v>1</v>
      </c>
      <c r="U9" s="6" t="n">
        <v>1</v>
      </c>
      <c r="V9" s="14" t="n">
        <f aca="false">Q9*Reglas!$C$6+R9*Reglas!$C$7+S9*Reglas!$C$8+T9*Reglas!$C$9+U9*Reglas!$C$10</f>
        <v>239</v>
      </c>
      <c r="W9" s="14" t="n">
        <f aca="false">Resumen_S1!$F$12-V9</f>
        <v>1523.81428571429</v>
      </c>
      <c r="X9" s="18" t="n">
        <f aca="false">W9-J9</f>
        <v>-6.18571428571408</v>
      </c>
      <c r="Y9" s="13" t="n">
        <f aca="false">(H9-W9)*7/Perfil!$C$14</f>
        <v>0.308043831168831</v>
      </c>
      <c r="Z9" s="10"/>
    </row>
    <row r="10" customFormat="false" ht="15" hidden="false" customHeight="false" outlineLevel="0" collapsed="false">
      <c r="A10" s="10" t="n">
        <v>6</v>
      </c>
      <c r="B10" s="11" t="n">
        <f aca="false">Perfil!$C$13+(A10-1)*7</f>
        <v>46342</v>
      </c>
      <c r="C10" s="11" t="n">
        <f aca="false">B10+6</f>
        <v>46348</v>
      </c>
      <c r="D10" s="12" t="n">
        <v>62.85</v>
      </c>
      <c r="E10" s="13" t="n">
        <f aca="false">D9</f>
        <v>63.15</v>
      </c>
      <c r="F10" s="13" t="n">
        <f aca="false">E10-D10</f>
        <v>0.299999999999997</v>
      </c>
      <c r="G10" s="14" t="n">
        <f aca="false">10*E10+6.25*Perfil!$C$6-5*Perfil!$C$5-161</f>
        <v>1376.75</v>
      </c>
      <c r="H10" s="14" t="n">
        <f aca="false">G10*Perfil!$C$9</f>
        <v>1858.6125</v>
      </c>
      <c r="I10" s="14" t="n">
        <f aca="false">F10*Perfil!$C$14/7</f>
        <v>329.999999999997</v>
      </c>
      <c r="J10" s="15" t="n">
        <f aca="false">MAX(Perfil!$C$12,ROUND(H10-I10,-1))</f>
        <v>1530</v>
      </c>
      <c r="K10" s="16" t="n">
        <f aca="false">J10*7</f>
        <v>10710</v>
      </c>
      <c r="L10" s="10" t="n">
        <f aca="false">ROUND(E10*Perfil!$C$10,0)</f>
        <v>101</v>
      </c>
      <c r="M10" s="10" t="n">
        <f aca="false">ROUND(E10*Perfil!$C$11,0)</f>
        <v>38</v>
      </c>
      <c r="N10" s="10" t="n">
        <f aca="false">ROUND((J10-4*L10-9*M10)/4,0)</f>
        <v>196</v>
      </c>
      <c r="O10" s="17" t="n">
        <f aca="false">ROUND(E10*0.037,1)</f>
        <v>2.3</v>
      </c>
      <c r="P10" s="17" t="n">
        <f aca="false">ROUND(O10*1000/Perfil!$C$15,1)</f>
        <v>2.9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14" t="n">
        <f aca="false">Q10*Reglas!$C$6+R10*Reglas!$C$7+S10*Reglas!$C$8+T10*Reglas!$C$9+U10*Reglas!$C$10</f>
        <v>239</v>
      </c>
      <c r="W10" s="14" t="n">
        <f aca="false">Resumen_S1!$F$12-V10</f>
        <v>1523.81428571429</v>
      </c>
      <c r="X10" s="18" t="n">
        <f aca="false">W10-J10</f>
        <v>-6.18571428571408</v>
      </c>
      <c r="Y10" s="13" t="n">
        <f aca="false">(H10-W10)*7/Perfil!$C$14</f>
        <v>0.304362012987013</v>
      </c>
      <c r="Z10" s="10" t="s">
        <v>96</v>
      </c>
    </row>
    <row r="11" customFormat="false" ht="15" hidden="false" customHeight="false" outlineLevel="0" collapsed="false">
      <c r="A11" s="10" t="n">
        <v>7</v>
      </c>
      <c r="B11" s="11" t="n">
        <f aca="false">Perfil!$C$13+(A11-1)*7</f>
        <v>46349</v>
      </c>
      <c r="C11" s="11" t="n">
        <f aca="false">B11+6</f>
        <v>46355</v>
      </c>
      <c r="D11" s="12" t="n">
        <v>62.55</v>
      </c>
      <c r="E11" s="13" t="n">
        <f aca="false">D10</f>
        <v>62.85</v>
      </c>
      <c r="F11" s="13" t="n">
        <f aca="false">E11-D11</f>
        <v>0.300000000000004</v>
      </c>
      <c r="G11" s="14" t="n">
        <f aca="false">10*E11+6.25*Perfil!$C$6-5*Perfil!$C$5-161</f>
        <v>1373.75</v>
      </c>
      <c r="H11" s="14" t="n">
        <f aca="false">G11*Perfil!$C$9</f>
        <v>1854.5625</v>
      </c>
      <c r="I11" s="14" t="n">
        <f aca="false">F11*Perfil!$C$14/7</f>
        <v>330.000000000005</v>
      </c>
      <c r="J11" s="15" t="n">
        <f aca="false">MAX(Perfil!$C$12,ROUND(H11-I11,-1))</f>
        <v>1520</v>
      </c>
      <c r="K11" s="16" t="n">
        <f aca="false">J11*7</f>
        <v>10640</v>
      </c>
      <c r="L11" s="10" t="n">
        <f aca="false">ROUND(E11*Perfil!$C$10,0)</f>
        <v>101</v>
      </c>
      <c r="M11" s="10" t="n">
        <f aca="false">ROUND(E11*Perfil!$C$11,0)</f>
        <v>38</v>
      </c>
      <c r="N11" s="10" t="n">
        <f aca="false">ROUND((J11-4*L11-9*M11)/4,0)</f>
        <v>194</v>
      </c>
      <c r="O11" s="17" t="n">
        <f aca="false">ROUND(E11*0.037,1)</f>
        <v>2.3</v>
      </c>
      <c r="P11" s="17" t="n">
        <f aca="false">ROUND(O11*1000/Perfil!$C$15,1)</f>
        <v>2.9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14" t="n">
        <f aca="false">Q11*Reglas!$C$6+R11*Reglas!$C$7+S11*Reglas!$C$8+T11*Reglas!$C$9+U11*Reglas!$C$10</f>
        <v>239</v>
      </c>
      <c r="W11" s="14" t="n">
        <f aca="false">Resumen_S1!$F$12-V11</f>
        <v>1523.81428571429</v>
      </c>
      <c r="X11" s="18" t="n">
        <f aca="false">W11-J11</f>
        <v>3.81428571428592</v>
      </c>
      <c r="Y11" s="13" t="n">
        <f aca="false">(H11-W11)*7/Perfil!$C$14</f>
        <v>0.300680194805195</v>
      </c>
      <c r="Z11" s="10" t="s">
        <v>97</v>
      </c>
    </row>
    <row r="12" customFormat="false" ht="15" hidden="false" customHeight="false" outlineLevel="0" collapsed="false">
      <c r="A12" s="10" t="n">
        <v>8</v>
      </c>
      <c r="B12" s="11" t="n">
        <f aca="false">Perfil!$C$13+(A12-1)*7</f>
        <v>46356</v>
      </c>
      <c r="C12" s="11" t="n">
        <f aca="false">B12+6</f>
        <v>46362</v>
      </c>
      <c r="D12" s="12" t="n">
        <v>62.25</v>
      </c>
      <c r="E12" s="13" t="n">
        <f aca="false">D11</f>
        <v>62.55</v>
      </c>
      <c r="F12" s="13" t="n">
        <f aca="false">E12-D12</f>
        <v>0.299999999999997</v>
      </c>
      <c r="G12" s="14" t="n">
        <f aca="false">10*E12+6.25*Perfil!$C$6-5*Perfil!$C$5-161</f>
        <v>1370.75</v>
      </c>
      <c r="H12" s="14" t="n">
        <f aca="false">G12*Perfil!$C$9</f>
        <v>1850.5125</v>
      </c>
      <c r="I12" s="14" t="n">
        <f aca="false">F12*Perfil!$C$14/7</f>
        <v>329.999999999997</v>
      </c>
      <c r="J12" s="15" t="n">
        <f aca="false">MAX(Perfil!$C$12,ROUND(H12-I12,-1))</f>
        <v>1520</v>
      </c>
      <c r="K12" s="16" t="n">
        <f aca="false">J12*7</f>
        <v>10640</v>
      </c>
      <c r="L12" s="10" t="n">
        <f aca="false">ROUND(E12*Perfil!$C$10,0)</f>
        <v>100</v>
      </c>
      <c r="M12" s="10" t="n">
        <f aca="false">ROUND(E12*Perfil!$C$11,0)</f>
        <v>38</v>
      </c>
      <c r="N12" s="10" t="n">
        <f aca="false">ROUND((J12-4*L12-9*M12)/4,0)</f>
        <v>195</v>
      </c>
      <c r="O12" s="17" t="n">
        <f aca="false">ROUND(E12*0.037,1)</f>
        <v>2.3</v>
      </c>
      <c r="P12" s="17" t="n">
        <f aca="false">ROUND(O12*1000/Perfil!$C$15,1)</f>
        <v>2.9</v>
      </c>
      <c r="Q12" s="6" t="n">
        <v>1</v>
      </c>
      <c r="R12" s="6" t="n">
        <v>1</v>
      </c>
      <c r="S12" s="6" t="n">
        <v>1</v>
      </c>
      <c r="T12" s="6" t="n">
        <v>1</v>
      </c>
      <c r="U12" s="6" t="n">
        <v>1</v>
      </c>
      <c r="V12" s="14" t="n">
        <f aca="false">Q12*Reglas!$C$6+R12*Reglas!$C$7+S12*Reglas!$C$8+T12*Reglas!$C$9+U12*Reglas!$C$10</f>
        <v>239</v>
      </c>
      <c r="W12" s="14" t="n">
        <f aca="false">Resumen_S1!$F$12-V12</f>
        <v>1523.81428571429</v>
      </c>
      <c r="X12" s="18" t="n">
        <f aca="false">W12-J12</f>
        <v>3.81428571428592</v>
      </c>
      <c r="Y12" s="13" t="n">
        <f aca="false">(H12-W12)*7/Perfil!$C$14</f>
        <v>0.296998376623376</v>
      </c>
      <c r="Z12" s="10"/>
    </row>
    <row r="13" customFormat="false" ht="15" hidden="false" customHeight="false" outlineLevel="0" collapsed="false">
      <c r="A13" s="10" t="n">
        <v>9</v>
      </c>
      <c r="B13" s="11" t="n">
        <f aca="false">Perfil!$C$13+(A13-1)*7</f>
        <v>46363</v>
      </c>
      <c r="C13" s="11" t="n">
        <f aca="false">B13+6</f>
        <v>46369</v>
      </c>
      <c r="D13" s="12" t="n">
        <v>61.95</v>
      </c>
      <c r="E13" s="13" t="n">
        <f aca="false">D12</f>
        <v>62.25</v>
      </c>
      <c r="F13" s="13" t="n">
        <f aca="false">E13-D13</f>
        <v>0.299999999999997</v>
      </c>
      <c r="G13" s="14" t="n">
        <f aca="false">10*E13+6.25*Perfil!$C$6-5*Perfil!$C$5-161</f>
        <v>1367.75</v>
      </c>
      <c r="H13" s="14" t="n">
        <f aca="false">G13*Perfil!$C$9</f>
        <v>1846.4625</v>
      </c>
      <c r="I13" s="14" t="n">
        <f aca="false">F13*Perfil!$C$14/7</f>
        <v>329.999999999997</v>
      </c>
      <c r="J13" s="15" t="n">
        <f aca="false">MAX(Perfil!$C$12,ROUND(H13-I13,-1))</f>
        <v>1520</v>
      </c>
      <c r="K13" s="16" t="n">
        <f aca="false">J13*7</f>
        <v>10640</v>
      </c>
      <c r="L13" s="10" t="n">
        <f aca="false">ROUND(E13*Perfil!$C$10,0)</f>
        <v>100</v>
      </c>
      <c r="M13" s="10" t="n">
        <f aca="false">ROUND(E13*Perfil!$C$11,0)</f>
        <v>37</v>
      </c>
      <c r="N13" s="10" t="n">
        <f aca="false">ROUND((J13-4*L13-9*M13)/4,0)</f>
        <v>197</v>
      </c>
      <c r="O13" s="17" t="n">
        <f aca="false">ROUND(E13*0.037,1)</f>
        <v>2.3</v>
      </c>
      <c r="P13" s="17" t="n">
        <f aca="false">ROUND(O13*1000/Perfil!$C$15,1)</f>
        <v>2.9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14" t="n">
        <f aca="false">Q13*Reglas!$C$6+R13*Reglas!$C$7+S13*Reglas!$C$8+T13*Reglas!$C$9+U13*Reglas!$C$10</f>
        <v>239</v>
      </c>
      <c r="W13" s="14" t="n">
        <f aca="false">Resumen_S1!$F$12-V13</f>
        <v>1523.81428571429</v>
      </c>
      <c r="X13" s="18" t="n">
        <f aca="false">W13-J13</f>
        <v>3.81428571428592</v>
      </c>
      <c r="Y13" s="13" t="n">
        <f aca="false">(H13-W13)*7/Perfil!$C$14</f>
        <v>0.293316558441558</v>
      </c>
      <c r="Z13" s="10"/>
    </row>
    <row r="14" customFormat="false" ht="15" hidden="false" customHeight="false" outlineLevel="0" collapsed="false">
      <c r="A14" s="10" t="n">
        <v>10</v>
      </c>
      <c r="B14" s="11" t="n">
        <f aca="false">Perfil!$C$13+(A14-1)*7</f>
        <v>46370</v>
      </c>
      <c r="C14" s="11" t="n">
        <f aca="false">B14+6</f>
        <v>46376</v>
      </c>
      <c r="D14" s="12" t="n">
        <v>61.65</v>
      </c>
      <c r="E14" s="13" t="n">
        <f aca="false">D13</f>
        <v>61.95</v>
      </c>
      <c r="F14" s="13" t="n">
        <f aca="false">E14-D14</f>
        <v>0.300000000000004</v>
      </c>
      <c r="G14" s="14" t="n">
        <f aca="false">10*E14+6.25*Perfil!$C$6-5*Perfil!$C$5-161</f>
        <v>1364.75</v>
      </c>
      <c r="H14" s="14" t="n">
        <f aca="false">G14*Perfil!$C$9</f>
        <v>1842.4125</v>
      </c>
      <c r="I14" s="14" t="n">
        <f aca="false">F14*Perfil!$C$14/7</f>
        <v>330.000000000005</v>
      </c>
      <c r="J14" s="15" t="n">
        <f aca="false">MAX(Perfil!$C$12,ROUND(H14-I14,-1))</f>
        <v>1510</v>
      </c>
      <c r="K14" s="16" t="n">
        <f aca="false">J14*7</f>
        <v>10570</v>
      </c>
      <c r="L14" s="10" t="n">
        <f aca="false">ROUND(E14*Perfil!$C$10,0)</f>
        <v>99</v>
      </c>
      <c r="M14" s="10" t="n">
        <f aca="false">ROUND(E14*Perfil!$C$11,0)</f>
        <v>37</v>
      </c>
      <c r="N14" s="10" t="n">
        <f aca="false">ROUND((J14-4*L14-9*M14)/4,0)</f>
        <v>195</v>
      </c>
      <c r="O14" s="17" t="n">
        <f aca="false">ROUND(E14*0.037,1)</f>
        <v>2.3</v>
      </c>
      <c r="P14" s="17" t="n">
        <f aca="false">ROUND(O14*1000/Perfil!$C$15,1)</f>
        <v>2.9</v>
      </c>
      <c r="Q14" s="6" t="n">
        <v>1</v>
      </c>
      <c r="R14" s="6" t="n">
        <v>1</v>
      </c>
      <c r="S14" s="6" t="n">
        <v>1</v>
      </c>
      <c r="T14" s="6" t="n">
        <v>1</v>
      </c>
      <c r="U14" s="6" t="n">
        <v>1</v>
      </c>
      <c r="V14" s="14" t="n">
        <f aca="false">Q14*Reglas!$C$6+R14*Reglas!$C$7+S14*Reglas!$C$8+T14*Reglas!$C$9+U14*Reglas!$C$10</f>
        <v>239</v>
      </c>
      <c r="W14" s="14" t="n">
        <f aca="false">Resumen_S1!$F$12-V14</f>
        <v>1523.81428571429</v>
      </c>
      <c r="X14" s="18" t="n">
        <f aca="false">W14-J14</f>
        <v>13.8142857142859</v>
      </c>
      <c r="Y14" s="13" t="n">
        <f aca="false">(H14-W14)*7/Perfil!$C$14</f>
        <v>0.28963474025974</v>
      </c>
      <c r="Z14" s="10"/>
    </row>
    <row r="15" customFormat="false" ht="15" hidden="false" customHeight="false" outlineLevel="0" collapsed="false">
      <c r="A15" s="10" t="n">
        <v>11</v>
      </c>
      <c r="B15" s="11" t="n">
        <f aca="false">Perfil!$C$13+(A15-1)*7</f>
        <v>46377</v>
      </c>
      <c r="C15" s="11" t="n">
        <f aca="false">B15+6</f>
        <v>46383</v>
      </c>
      <c r="D15" s="12" t="n">
        <v>61.35</v>
      </c>
      <c r="E15" s="13" t="n">
        <f aca="false">D14</f>
        <v>61.65</v>
      </c>
      <c r="F15" s="13" t="n">
        <f aca="false">E15-D15</f>
        <v>0.299999999999997</v>
      </c>
      <c r="G15" s="14" t="n">
        <f aca="false">10*E15+6.25*Perfil!$C$6-5*Perfil!$C$5-161</f>
        <v>1361.75</v>
      </c>
      <c r="H15" s="14" t="n">
        <f aca="false">G15*Perfil!$C$9</f>
        <v>1838.3625</v>
      </c>
      <c r="I15" s="14" t="n">
        <f aca="false">F15*Perfil!$C$14/7</f>
        <v>329.999999999997</v>
      </c>
      <c r="J15" s="15" t="n">
        <f aca="false">MAX(Perfil!$C$12,ROUND(H15-I15,-1))</f>
        <v>1510</v>
      </c>
      <c r="K15" s="16" t="n">
        <f aca="false">J15*7</f>
        <v>10570</v>
      </c>
      <c r="L15" s="10" t="n">
        <f aca="false">ROUND(E15*Perfil!$C$10,0)</f>
        <v>99</v>
      </c>
      <c r="M15" s="10" t="n">
        <f aca="false">ROUND(E15*Perfil!$C$11,0)</f>
        <v>37</v>
      </c>
      <c r="N15" s="10" t="n">
        <f aca="false">ROUND((J15-4*L15-9*M15)/4,0)</f>
        <v>195</v>
      </c>
      <c r="O15" s="17" t="n">
        <f aca="false">ROUND(E15*0.037,1)</f>
        <v>2.3</v>
      </c>
      <c r="P15" s="17" t="n">
        <f aca="false">ROUND(O15*1000/Perfil!$C$15,1)</f>
        <v>2.9</v>
      </c>
      <c r="Q15" s="6" t="n">
        <v>1</v>
      </c>
      <c r="R15" s="6" t="n">
        <v>1</v>
      </c>
      <c r="S15" s="6" t="n">
        <v>1</v>
      </c>
      <c r="T15" s="6" t="n">
        <v>1</v>
      </c>
      <c r="U15" s="6" t="n">
        <v>1</v>
      </c>
      <c r="V15" s="14" t="n">
        <f aca="false">Q15*Reglas!$C$6+R15*Reglas!$C$7+S15*Reglas!$C$8+T15*Reglas!$C$9+U15*Reglas!$C$10</f>
        <v>239</v>
      </c>
      <c r="W15" s="14" t="n">
        <f aca="false">Resumen_S1!$F$12-V15</f>
        <v>1523.81428571429</v>
      </c>
      <c r="X15" s="18" t="n">
        <f aca="false">W15-J15</f>
        <v>13.8142857142859</v>
      </c>
      <c r="Y15" s="13" t="n">
        <f aca="false">(H15-W15)*7/Perfil!$C$14</f>
        <v>0.285952922077922</v>
      </c>
      <c r="Z15" s="10"/>
    </row>
    <row r="16" customFormat="false" ht="15" hidden="false" customHeight="false" outlineLevel="0" collapsed="false">
      <c r="A16" s="10" t="n">
        <v>12</v>
      </c>
      <c r="B16" s="11" t="n">
        <f aca="false">Perfil!$C$13+(A16-1)*7</f>
        <v>46384</v>
      </c>
      <c r="C16" s="11" t="n">
        <f aca="false">B16+6</f>
        <v>46390</v>
      </c>
      <c r="D16" s="12" t="n">
        <v>61</v>
      </c>
      <c r="E16" s="13" t="n">
        <f aca="false">D15</f>
        <v>61.35</v>
      </c>
      <c r="F16" s="13" t="n">
        <f aca="false">E16-D16</f>
        <v>0.350000000000001</v>
      </c>
      <c r="G16" s="14" t="n">
        <f aca="false">10*E16+6.25*Perfil!$C$6-5*Perfil!$C$5-161</f>
        <v>1358.75</v>
      </c>
      <c r="H16" s="14" t="n">
        <f aca="false">G16*Perfil!$C$9</f>
        <v>1834.3125</v>
      </c>
      <c r="I16" s="14" t="n">
        <f aca="false">F16*Perfil!$C$14/7</f>
        <v>385.000000000002</v>
      </c>
      <c r="J16" s="15" t="n">
        <f aca="false">MAX(Perfil!$C$12,ROUND(H16-I16,-1))</f>
        <v>1500</v>
      </c>
      <c r="K16" s="16" t="n">
        <f aca="false">J16*7</f>
        <v>10500</v>
      </c>
      <c r="L16" s="10" t="n">
        <f aca="false">ROUND(E16*Perfil!$C$10,0)</f>
        <v>98</v>
      </c>
      <c r="M16" s="10" t="n">
        <f aca="false">ROUND(E16*Perfil!$C$11,0)</f>
        <v>37</v>
      </c>
      <c r="N16" s="10" t="n">
        <f aca="false">ROUND((J16-4*L16-9*M16)/4,0)</f>
        <v>194</v>
      </c>
      <c r="O16" s="17" t="n">
        <f aca="false">ROUND(E16*0.037,1)</f>
        <v>2.3</v>
      </c>
      <c r="P16" s="17" t="n">
        <f aca="false">ROUND(O16*1000/Perfil!$C$15,1)</f>
        <v>2.9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14" t="n">
        <f aca="false">Q16*Reglas!$C$6+R16*Reglas!$C$7+S16*Reglas!$C$8+T16*Reglas!$C$9+U16*Reglas!$C$10</f>
        <v>239</v>
      </c>
      <c r="W16" s="14" t="n">
        <f aca="false">Resumen_S1!$F$12-V16</f>
        <v>1523.81428571429</v>
      </c>
      <c r="X16" s="18" t="n">
        <f aca="false">W16-J16</f>
        <v>23.8142857142859</v>
      </c>
      <c r="Y16" s="13" t="n">
        <f aca="false">(H16-W16)*7/Perfil!$C$14</f>
        <v>0.282271103896104</v>
      </c>
      <c r="Z16" s="10" t="s">
        <v>98</v>
      </c>
    </row>
    <row r="18" customFormat="false" ht="15" hidden="false" customHeight="false" outlineLevel="0" collapsed="false">
      <c r="A18" s="19" t="s">
        <v>99</v>
      </c>
    </row>
    <row r="19" customFormat="false" ht="15" hidden="false" customHeight="false" outlineLevel="0" collapsed="false">
      <c r="A19" s="19" t="s">
        <v>100</v>
      </c>
    </row>
  </sheetData>
  <conditionalFormatting sqref="X5:X16">
    <cfRule type="cellIs" priority="2" operator="greaterThan" aboveAverage="0" equalAverage="0" bottom="0" percent="0" rank="0" text="" dxfId="0">
      <formula>60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20"/>
  </cols>
  <sheetData>
    <row r="1" customFormat="false" ht="18.5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33.75" hidden="false" customHeight="true" outlineLevel="0" collapsed="false">
      <c r="A4" s="8" t="s">
        <v>103</v>
      </c>
      <c r="B4" s="8" t="s">
        <v>104</v>
      </c>
      <c r="C4" s="8" t="s">
        <v>105</v>
      </c>
      <c r="D4" s="8" t="s">
        <v>106</v>
      </c>
      <c r="E4" s="8" t="s">
        <v>107</v>
      </c>
      <c r="F4" s="8" t="s">
        <v>108</v>
      </c>
      <c r="G4" s="8" t="s">
        <v>109</v>
      </c>
      <c r="H4" s="8" t="s">
        <v>110</v>
      </c>
      <c r="I4" s="8" t="s">
        <v>111</v>
      </c>
    </row>
    <row r="5" customFormat="false" ht="15" hidden="false" customHeight="false" outlineLevel="0" collapsed="false">
      <c r="A5" s="10" t="s">
        <v>112</v>
      </c>
      <c r="B5" s="10" t="s">
        <v>113</v>
      </c>
      <c r="C5" s="10" t="s">
        <v>114</v>
      </c>
      <c r="D5" s="10" t="s">
        <v>115</v>
      </c>
      <c r="E5" s="20" t="n">
        <v>317</v>
      </c>
      <c r="F5" s="20" t="n">
        <v>6.8</v>
      </c>
      <c r="G5" s="20" t="n">
        <v>2.5</v>
      </c>
      <c r="H5" s="20" t="n">
        <v>69.2</v>
      </c>
      <c r="I5" s="10" t="s">
        <v>116</v>
      </c>
    </row>
    <row r="6" customFormat="false" ht="15" hidden="false" customHeight="false" outlineLevel="0" collapsed="false">
      <c r="A6" s="10" t="s">
        <v>117</v>
      </c>
      <c r="B6" s="10" t="s">
        <v>118</v>
      </c>
      <c r="C6" s="10" t="s">
        <v>119</v>
      </c>
      <c r="D6" s="10" t="s">
        <v>115</v>
      </c>
      <c r="E6" s="20" t="n">
        <v>277</v>
      </c>
      <c r="F6" s="20" t="n">
        <v>8.4</v>
      </c>
      <c r="G6" s="20" t="n">
        <v>0.2</v>
      </c>
      <c r="H6" s="20" t="n">
        <v>62.9</v>
      </c>
      <c r="I6" s="10" t="s">
        <v>116</v>
      </c>
    </row>
    <row r="7" customFormat="false" ht="15" hidden="false" customHeight="false" outlineLevel="0" collapsed="false">
      <c r="A7" s="10" t="s">
        <v>120</v>
      </c>
      <c r="B7" s="10" t="s">
        <v>121</v>
      </c>
      <c r="C7" s="10" t="s">
        <v>122</v>
      </c>
      <c r="D7" s="10" t="s">
        <v>123</v>
      </c>
      <c r="E7" s="20" t="n">
        <v>333</v>
      </c>
      <c r="F7" s="20" t="n">
        <v>13.3</v>
      </c>
      <c r="G7" s="20" t="n">
        <v>4</v>
      </c>
      <c r="H7" s="20" t="n">
        <v>72.2</v>
      </c>
      <c r="I7" s="10" t="s">
        <v>116</v>
      </c>
    </row>
    <row r="8" customFormat="false" ht="15" hidden="false" customHeight="false" outlineLevel="0" collapsed="false">
      <c r="A8" s="10" t="s">
        <v>124</v>
      </c>
      <c r="B8" s="10" t="s">
        <v>125</v>
      </c>
      <c r="C8" s="10" t="s">
        <v>126</v>
      </c>
      <c r="D8" s="10" t="s">
        <v>123</v>
      </c>
      <c r="E8" s="20" t="n">
        <v>376</v>
      </c>
      <c r="F8" s="20" t="n">
        <v>13.9</v>
      </c>
      <c r="G8" s="20" t="n">
        <v>7.4</v>
      </c>
      <c r="H8" s="20" t="n">
        <v>63.1</v>
      </c>
      <c r="I8" s="10" t="s">
        <v>116</v>
      </c>
    </row>
    <row r="9" customFormat="false" ht="15" hidden="false" customHeight="false" outlineLevel="0" collapsed="false">
      <c r="A9" s="10" t="s">
        <v>127</v>
      </c>
      <c r="B9" s="10" t="s">
        <v>128</v>
      </c>
      <c r="C9" s="10" t="s">
        <v>129</v>
      </c>
      <c r="D9" s="10" t="s">
        <v>130</v>
      </c>
      <c r="E9" s="20" t="n">
        <v>115</v>
      </c>
      <c r="F9" s="20" t="n">
        <v>2.4</v>
      </c>
      <c r="G9" s="20" t="n">
        <v>0.1</v>
      </c>
      <c r="H9" s="20" t="n">
        <v>25.2</v>
      </c>
      <c r="I9" s="10" t="s">
        <v>131</v>
      </c>
    </row>
    <row r="10" customFormat="false" ht="15" hidden="false" customHeight="false" outlineLevel="0" collapsed="false">
      <c r="A10" s="10" t="s">
        <v>132</v>
      </c>
      <c r="B10" s="10" t="s">
        <v>133</v>
      </c>
      <c r="C10" s="10" t="s">
        <v>134</v>
      </c>
      <c r="D10" s="10" t="s">
        <v>130</v>
      </c>
      <c r="E10" s="20" t="n">
        <v>87</v>
      </c>
      <c r="F10" s="20" t="n">
        <v>2.1</v>
      </c>
      <c r="G10" s="20" t="n">
        <v>0.1</v>
      </c>
      <c r="H10" s="20" t="n">
        <v>22.3</v>
      </c>
      <c r="I10" s="10" t="s">
        <v>131</v>
      </c>
    </row>
    <row r="11" customFormat="false" ht="15" hidden="false" customHeight="false" outlineLevel="0" collapsed="false">
      <c r="A11" s="10" t="s">
        <v>135</v>
      </c>
      <c r="B11" s="10" t="s">
        <v>136</v>
      </c>
      <c r="C11" s="10" t="s">
        <v>137</v>
      </c>
      <c r="D11" s="10" t="s">
        <v>130</v>
      </c>
      <c r="E11" s="20" t="n">
        <v>101</v>
      </c>
      <c r="F11" s="20" t="n">
        <v>2</v>
      </c>
      <c r="G11" s="20" t="n">
        <v>0.4</v>
      </c>
      <c r="H11" s="20" t="n">
        <v>23.3</v>
      </c>
      <c r="I11" s="10" t="s">
        <v>131</v>
      </c>
    </row>
    <row r="12" customFormat="false" ht="15" hidden="false" customHeight="false" outlineLevel="0" collapsed="false">
      <c r="A12" s="10" t="s">
        <v>138</v>
      </c>
      <c r="B12" s="10" t="s">
        <v>139</v>
      </c>
      <c r="C12" s="10" t="s">
        <v>140</v>
      </c>
      <c r="D12" s="10" t="s">
        <v>130</v>
      </c>
      <c r="E12" s="20" t="n">
        <v>95</v>
      </c>
      <c r="F12" s="20" t="n">
        <v>2</v>
      </c>
      <c r="G12" s="20" t="n">
        <v>0</v>
      </c>
      <c r="H12" s="20" t="n">
        <v>23.4</v>
      </c>
      <c r="I12" s="10" t="s">
        <v>131</v>
      </c>
    </row>
    <row r="13" customFormat="false" ht="15" hidden="false" customHeight="false" outlineLevel="0" collapsed="false">
      <c r="A13" s="10" t="s">
        <v>141</v>
      </c>
      <c r="B13" s="10" t="s">
        <v>142</v>
      </c>
      <c r="C13" s="10" t="s">
        <v>143</v>
      </c>
      <c r="D13" s="10" t="s">
        <v>130</v>
      </c>
      <c r="E13" s="20" t="n">
        <v>90</v>
      </c>
      <c r="F13" s="20" t="n">
        <v>3.1</v>
      </c>
      <c r="G13" s="20" t="n">
        <v>0</v>
      </c>
      <c r="H13" s="20" t="n">
        <v>21.3</v>
      </c>
      <c r="I13" s="10" t="s">
        <v>131</v>
      </c>
    </row>
    <row r="14" customFormat="false" ht="15" hidden="false" customHeight="false" outlineLevel="0" collapsed="false">
      <c r="A14" s="10" t="s">
        <v>144</v>
      </c>
      <c r="B14" s="10" t="s">
        <v>145</v>
      </c>
      <c r="C14" s="10" t="s">
        <v>146</v>
      </c>
      <c r="D14" s="10" t="s">
        <v>130</v>
      </c>
      <c r="E14" s="20" t="n">
        <v>89</v>
      </c>
      <c r="F14" s="20" t="n">
        <v>2.8</v>
      </c>
      <c r="G14" s="20" t="n">
        <v>1.3</v>
      </c>
      <c r="H14" s="20" t="n">
        <v>16.3</v>
      </c>
      <c r="I14" s="10" t="s">
        <v>131</v>
      </c>
    </row>
    <row r="15" customFormat="false" ht="15" hidden="false" customHeight="false" outlineLevel="0" collapsed="false">
      <c r="A15" s="10" t="s">
        <v>147</v>
      </c>
      <c r="B15" s="10" t="s">
        <v>148</v>
      </c>
      <c r="C15" s="10" t="s">
        <v>149</v>
      </c>
      <c r="D15" s="10" t="s">
        <v>123</v>
      </c>
      <c r="E15" s="20" t="n">
        <v>108</v>
      </c>
      <c r="F15" s="20" t="n">
        <v>19.2</v>
      </c>
      <c r="G15" s="20" t="n">
        <v>2.9</v>
      </c>
      <c r="H15" s="20" t="n">
        <v>0</v>
      </c>
      <c r="I15" s="10" t="s">
        <v>150</v>
      </c>
    </row>
    <row r="16" customFormat="false" ht="15" hidden="false" customHeight="false" outlineLevel="0" collapsed="false">
      <c r="A16" s="10" t="s">
        <v>151</v>
      </c>
      <c r="B16" s="10" t="s">
        <v>152</v>
      </c>
      <c r="C16" s="10" t="s">
        <v>153</v>
      </c>
      <c r="D16" s="10" t="s">
        <v>123</v>
      </c>
      <c r="E16" s="20" t="n">
        <v>119</v>
      </c>
      <c r="F16" s="20" t="n">
        <v>21.4</v>
      </c>
      <c r="G16" s="20" t="n">
        <v>3.1</v>
      </c>
      <c r="H16" s="20" t="n">
        <v>0</v>
      </c>
      <c r="I16" s="10" t="s">
        <v>150</v>
      </c>
    </row>
    <row r="17" customFormat="false" ht="15" hidden="false" customHeight="false" outlineLevel="0" collapsed="false">
      <c r="A17" s="10" t="s">
        <v>154</v>
      </c>
      <c r="B17" s="10" t="s">
        <v>155</v>
      </c>
      <c r="C17" s="10" t="s">
        <v>156</v>
      </c>
      <c r="D17" s="10" t="s">
        <v>123</v>
      </c>
      <c r="E17" s="20" t="n">
        <v>105</v>
      </c>
      <c r="F17" s="20" t="n">
        <v>21.3</v>
      </c>
      <c r="G17" s="20" t="n">
        <v>1.6</v>
      </c>
      <c r="H17" s="20" t="n">
        <v>0</v>
      </c>
      <c r="I17" s="10" t="s">
        <v>150</v>
      </c>
    </row>
    <row r="18" customFormat="false" ht="15" hidden="false" customHeight="false" outlineLevel="0" collapsed="false">
      <c r="A18" s="10" t="s">
        <v>157</v>
      </c>
      <c r="B18" s="10" t="s">
        <v>158</v>
      </c>
      <c r="C18" s="10" t="s">
        <v>159</v>
      </c>
      <c r="D18" s="10" t="s">
        <v>123</v>
      </c>
      <c r="E18" s="20" t="n">
        <v>96</v>
      </c>
      <c r="F18" s="20" t="n">
        <v>20.1</v>
      </c>
      <c r="G18" s="20" t="n">
        <v>1.7</v>
      </c>
      <c r="H18" s="20" t="n">
        <v>0</v>
      </c>
      <c r="I18" s="10" t="s">
        <v>150</v>
      </c>
    </row>
    <row r="19" customFormat="false" ht="15" hidden="false" customHeight="false" outlineLevel="0" collapsed="false">
      <c r="A19" s="10" t="s">
        <v>160</v>
      </c>
      <c r="B19" s="10" t="s">
        <v>161</v>
      </c>
      <c r="C19" s="10" t="s">
        <v>162</v>
      </c>
      <c r="D19" s="10" t="s">
        <v>123</v>
      </c>
      <c r="E19" s="20" t="n">
        <v>111</v>
      </c>
      <c r="F19" s="20" t="n">
        <v>19.5</v>
      </c>
      <c r="G19" s="20" t="n">
        <v>3.1</v>
      </c>
      <c r="H19" s="20" t="n">
        <v>0</v>
      </c>
      <c r="I19" s="10" t="s">
        <v>150</v>
      </c>
    </row>
    <row r="20" customFormat="false" ht="15" hidden="false" customHeight="false" outlineLevel="0" collapsed="false">
      <c r="A20" s="10" t="s">
        <v>163</v>
      </c>
      <c r="B20" s="10" t="s">
        <v>164</v>
      </c>
      <c r="C20" s="10" t="s">
        <v>165</v>
      </c>
      <c r="D20" s="10" t="s">
        <v>123</v>
      </c>
      <c r="E20" s="20" t="n">
        <v>138</v>
      </c>
      <c r="F20" s="20" t="n">
        <v>23.4</v>
      </c>
      <c r="G20" s="20" t="n">
        <v>4.2</v>
      </c>
      <c r="H20" s="20" t="n">
        <v>0</v>
      </c>
      <c r="I20" s="10" t="s">
        <v>150</v>
      </c>
    </row>
    <row r="21" customFormat="false" ht="15" hidden="false" customHeight="false" outlineLevel="0" collapsed="false">
      <c r="A21" s="10" t="s">
        <v>166</v>
      </c>
      <c r="B21" s="10" t="s">
        <v>167</v>
      </c>
      <c r="C21" s="10" t="s">
        <v>168</v>
      </c>
      <c r="D21" s="10" t="s">
        <v>123</v>
      </c>
      <c r="E21" s="20" t="n">
        <v>72</v>
      </c>
      <c r="F21" s="20" t="n">
        <v>15.8</v>
      </c>
      <c r="G21" s="20" t="n">
        <v>0.5</v>
      </c>
      <c r="H21" s="20" t="n">
        <v>0</v>
      </c>
      <c r="I21" s="10" t="s">
        <v>150</v>
      </c>
    </row>
    <row r="22" customFormat="false" ht="15" hidden="false" customHeight="false" outlineLevel="0" collapsed="false">
      <c r="A22" s="10" t="s">
        <v>169</v>
      </c>
      <c r="B22" s="10" t="s">
        <v>170</v>
      </c>
      <c r="C22" s="10" t="s">
        <v>171</v>
      </c>
      <c r="D22" s="10" t="s">
        <v>115</v>
      </c>
      <c r="E22" s="20" t="n">
        <v>116</v>
      </c>
      <c r="F22" s="20" t="n">
        <v>25.5</v>
      </c>
      <c r="G22" s="20" t="n">
        <v>0.8</v>
      </c>
      <c r="H22" s="20" t="n">
        <v>0</v>
      </c>
      <c r="I22" s="10" t="s">
        <v>150</v>
      </c>
    </row>
    <row r="23" customFormat="false" ht="15" hidden="false" customHeight="false" outlineLevel="0" collapsed="false">
      <c r="A23" s="10" t="s">
        <v>172</v>
      </c>
      <c r="B23" s="10" t="s">
        <v>173</v>
      </c>
      <c r="C23" s="10" t="s">
        <v>174</v>
      </c>
      <c r="D23" s="10" t="s">
        <v>130</v>
      </c>
      <c r="E23" s="20" t="n">
        <v>145</v>
      </c>
      <c r="F23" s="20" t="n">
        <v>12.8</v>
      </c>
      <c r="G23" s="20" t="n">
        <v>9.9</v>
      </c>
      <c r="H23" s="20" t="n">
        <v>0</v>
      </c>
      <c r="I23" s="10" t="s">
        <v>150</v>
      </c>
    </row>
    <row r="24" customFormat="false" ht="15" hidden="false" customHeight="false" outlineLevel="0" collapsed="false">
      <c r="A24" s="10" t="s">
        <v>175</v>
      </c>
      <c r="B24" s="10" t="s">
        <v>176</v>
      </c>
      <c r="C24" s="10" t="s">
        <v>177</v>
      </c>
      <c r="D24" s="10" t="s">
        <v>130</v>
      </c>
      <c r="E24" s="20" t="n">
        <v>55</v>
      </c>
      <c r="F24" s="20" t="n">
        <v>11.9</v>
      </c>
      <c r="G24" s="20" t="n">
        <v>0.3</v>
      </c>
      <c r="H24" s="20" t="n">
        <v>0</v>
      </c>
      <c r="I24" s="10" t="s">
        <v>150</v>
      </c>
    </row>
    <row r="25" customFormat="false" ht="15" hidden="false" customHeight="false" outlineLevel="0" collapsed="false">
      <c r="A25" s="10" t="s">
        <v>178</v>
      </c>
      <c r="B25" s="10" t="s">
        <v>179</v>
      </c>
      <c r="C25" s="10" t="s">
        <v>180</v>
      </c>
      <c r="D25" s="10" t="s">
        <v>130</v>
      </c>
      <c r="E25" s="20" t="n">
        <v>65</v>
      </c>
      <c r="F25" s="20" t="n">
        <v>6.4</v>
      </c>
      <c r="G25" s="20" t="n">
        <v>0.1</v>
      </c>
      <c r="H25" s="20" t="n">
        <v>18.3</v>
      </c>
      <c r="I25" s="10" t="s">
        <v>181</v>
      </c>
    </row>
    <row r="26" customFormat="false" ht="15" hidden="false" customHeight="false" outlineLevel="0" collapsed="false">
      <c r="A26" s="10" t="s">
        <v>182</v>
      </c>
      <c r="B26" s="10" t="s">
        <v>183</v>
      </c>
      <c r="C26" s="10" t="s">
        <v>184</v>
      </c>
      <c r="D26" s="10" t="s">
        <v>130</v>
      </c>
      <c r="E26" s="20" t="n">
        <v>127</v>
      </c>
      <c r="F26" s="20" t="n">
        <v>6.9</v>
      </c>
      <c r="G26" s="20" t="n">
        <v>2.5</v>
      </c>
      <c r="H26" s="20" t="n">
        <v>27.8</v>
      </c>
      <c r="I26" s="10" t="s">
        <v>181</v>
      </c>
    </row>
    <row r="27" customFormat="false" ht="15" hidden="false" customHeight="false" outlineLevel="0" collapsed="false">
      <c r="A27" s="10" t="s">
        <v>185</v>
      </c>
      <c r="B27" s="10" t="s">
        <v>186</v>
      </c>
      <c r="C27" s="10" t="s">
        <v>187</v>
      </c>
      <c r="D27" s="10" t="s">
        <v>115</v>
      </c>
      <c r="E27" s="20" t="n">
        <v>264</v>
      </c>
      <c r="F27" s="20" t="n">
        <v>17.5</v>
      </c>
      <c r="G27" s="20" t="n">
        <v>20.1</v>
      </c>
      <c r="H27" s="20" t="n">
        <v>3.3</v>
      </c>
      <c r="I27" s="10" t="s">
        <v>188</v>
      </c>
    </row>
    <row r="28" customFormat="false" ht="15" hidden="false" customHeight="false" outlineLevel="0" collapsed="false">
      <c r="A28" s="10" t="s">
        <v>189</v>
      </c>
      <c r="B28" s="10" t="s">
        <v>190</v>
      </c>
      <c r="C28" s="10" t="s">
        <v>191</v>
      </c>
      <c r="D28" s="10" t="s">
        <v>123</v>
      </c>
      <c r="E28" s="20" t="n">
        <v>130</v>
      </c>
      <c r="F28" s="20" t="n">
        <v>1.7</v>
      </c>
      <c r="G28" s="20" t="n">
        <v>12.5</v>
      </c>
      <c r="H28" s="20" t="n">
        <v>5.6</v>
      </c>
      <c r="I28" s="10" t="s">
        <v>188</v>
      </c>
    </row>
    <row r="29" customFormat="false" ht="15" hidden="false" customHeight="false" outlineLevel="0" collapsed="false">
      <c r="A29" s="10" t="s">
        <v>192</v>
      </c>
      <c r="B29" s="10" t="s">
        <v>193</v>
      </c>
      <c r="C29" s="10" t="s">
        <v>194</v>
      </c>
      <c r="D29" s="10" t="s">
        <v>123</v>
      </c>
      <c r="E29" s="20" t="n">
        <v>7</v>
      </c>
      <c r="F29" s="20" t="n">
        <v>0.6</v>
      </c>
      <c r="G29" s="20" t="n">
        <v>0.1</v>
      </c>
      <c r="H29" s="20" t="n">
        <v>2.4</v>
      </c>
      <c r="I29" s="10" t="s">
        <v>195</v>
      </c>
    </row>
    <row r="30" customFormat="false" ht="15" hidden="false" customHeight="false" outlineLevel="0" collapsed="false">
      <c r="A30" s="10" t="s">
        <v>196</v>
      </c>
      <c r="B30" s="10" t="s">
        <v>197</v>
      </c>
      <c r="C30" s="10" t="s">
        <v>198</v>
      </c>
      <c r="D30" s="10" t="s">
        <v>123</v>
      </c>
      <c r="E30" s="20" t="n">
        <v>15</v>
      </c>
      <c r="F30" s="20" t="n">
        <v>0.8</v>
      </c>
      <c r="G30" s="20" t="n">
        <v>0.2</v>
      </c>
      <c r="H30" s="20" t="n">
        <v>4.3</v>
      </c>
      <c r="I30" s="10" t="s">
        <v>195</v>
      </c>
    </row>
    <row r="31" customFormat="false" ht="15" hidden="false" customHeight="false" outlineLevel="0" collapsed="false">
      <c r="A31" s="10" t="s">
        <v>199</v>
      </c>
      <c r="B31" s="10" t="s">
        <v>200</v>
      </c>
      <c r="C31" s="10" t="s">
        <v>201</v>
      </c>
      <c r="D31" s="10" t="s">
        <v>123</v>
      </c>
      <c r="E31" s="20" t="n">
        <v>19</v>
      </c>
      <c r="F31" s="20" t="n">
        <v>1</v>
      </c>
      <c r="G31" s="20" t="n">
        <v>0.3</v>
      </c>
      <c r="H31" s="20" t="n">
        <v>7.6</v>
      </c>
      <c r="I31" s="10" t="s">
        <v>195</v>
      </c>
    </row>
    <row r="32" customFormat="false" ht="15" hidden="false" customHeight="false" outlineLevel="0" collapsed="false">
      <c r="A32" s="10" t="s">
        <v>202</v>
      </c>
      <c r="B32" s="10" t="s">
        <v>203</v>
      </c>
      <c r="C32" s="10" t="s">
        <v>204</v>
      </c>
      <c r="D32" s="10" t="s">
        <v>205</v>
      </c>
      <c r="E32" s="20" t="n">
        <v>32</v>
      </c>
      <c r="F32" s="20" t="n">
        <v>3.9</v>
      </c>
      <c r="G32" s="20" t="n">
        <v>1.3</v>
      </c>
      <c r="H32" s="20" t="n">
        <v>4</v>
      </c>
      <c r="I32" s="10" t="s">
        <v>195</v>
      </c>
    </row>
    <row r="33" customFormat="false" ht="15" hidden="false" customHeight="false" outlineLevel="0" collapsed="false">
      <c r="A33" s="10" t="s">
        <v>206</v>
      </c>
      <c r="B33" s="10" t="s">
        <v>207</v>
      </c>
      <c r="C33" s="10" t="s">
        <v>208</v>
      </c>
      <c r="D33" s="10" t="s">
        <v>123</v>
      </c>
      <c r="E33" s="20" t="n">
        <v>27</v>
      </c>
      <c r="F33" s="20" t="n">
        <v>1.2</v>
      </c>
      <c r="G33" s="20" t="n">
        <v>1.3</v>
      </c>
      <c r="H33" s="20" t="n">
        <v>4.6</v>
      </c>
      <c r="I33" s="10" t="s">
        <v>195</v>
      </c>
    </row>
    <row r="34" customFormat="false" ht="15" hidden="false" customHeight="false" outlineLevel="0" collapsed="false">
      <c r="A34" s="10" t="s">
        <v>209</v>
      </c>
      <c r="B34" s="10" t="s">
        <v>210</v>
      </c>
      <c r="C34" s="10" t="s">
        <v>211</v>
      </c>
      <c r="D34" s="10" t="s">
        <v>123</v>
      </c>
      <c r="E34" s="20" t="n">
        <v>15</v>
      </c>
      <c r="F34" s="20" t="n">
        <v>1.5</v>
      </c>
      <c r="G34" s="20" t="n">
        <v>0.3</v>
      </c>
      <c r="H34" s="20" t="n">
        <v>4.9</v>
      </c>
      <c r="I34" s="10" t="s">
        <v>195</v>
      </c>
    </row>
    <row r="35" customFormat="false" ht="15" hidden="false" customHeight="false" outlineLevel="0" collapsed="false">
      <c r="A35" s="10" t="s">
        <v>212</v>
      </c>
      <c r="B35" s="10" t="s">
        <v>213</v>
      </c>
      <c r="C35" s="10" t="s">
        <v>214</v>
      </c>
      <c r="D35" s="10" t="s">
        <v>215</v>
      </c>
      <c r="E35" s="20" t="n">
        <v>18</v>
      </c>
      <c r="F35" s="20" t="n">
        <v>2</v>
      </c>
      <c r="G35" s="20" t="n">
        <v>0.3</v>
      </c>
      <c r="H35" s="20" t="n">
        <v>5.4</v>
      </c>
      <c r="I35" s="10" t="s">
        <v>195</v>
      </c>
    </row>
    <row r="36" customFormat="false" ht="15" hidden="false" customHeight="false" outlineLevel="0" collapsed="false">
      <c r="A36" s="10" t="s">
        <v>216</v>
      </c>
      <c r="B36" s="10" t="s">
        <v>217</v>
      </c>
      <c r="C36" s="10" t="s">
        <v>218</v>
      </c>
      <c r="D36" s="10" t="s">
        <v>123</v>
      </c>
      <c r="E36" s="20" t="n">
        <v>24</v>
      </c>
      <c r="F36" s="20" t="n">
        <v>1.9</v>
      </c>
      <c r="G36" s="20" t="n">
        <v>0.6</v>
      </c>
      <c r="H36" s="20" t="n">
        <v>6.3</v>
      </c>
      <c r="I36" s="10" t="s">
        <v>195</v>
      </c>
    </row>
    <row r="37" customFormat="false" ht="15" hidden="false" customHeight="false" outlineLevel="0" collapsed="false">
      <c r="A37" s="10" t="s">
        <v>219</v>
      </c>
      <c r="B37" s="10" t="s">
        <v>220</v>
      </c>
      <c r="C37" s="10" t="s">
        <v>221</v>
      </c>
      <c r="D37" s="10" t="s">
        <v>222</v>
      </c>
      <c r="E37" s="20" t="n">
        <v>25</v>
      </c>
      <c r="F37" s="20" t="n">
        <v>2.4</v>
      </c>
      <c r="G37" s="20" t="n">
        <v>0.3</v>
      </c>
      <c r="H37" s="20" t="n">
        <v>8.1</v>
      </c>
      <c r="I37" s="10" t="s">
        <v>195</v>
      </c>
    </row>
    <row r="38" customFormat="false" ht="15" hidden="false" customHeight="false" outlineLevel="0" collapsed="false">
      <c r="A38" s="10" t="s">
        <v>223</v>
      </c>
      <c r="B38" s="10" t="s">
        <v>224</v>
      </c>
      <c r="C38" s="10" t="s">
        <v>225</v>
      </c>
      <c r="D38" s="10" t="s">
        <v>205</v>
      </c>
      <c r="E38" s="20" t="n">
        <v>17</v>
      </c>
      <c r="F38" s="20" t="n">
        <v>2.2</v>
      </c>
      <c r="G38" s="20" t="n">
        <v>0.6</v>
      </c>
      <c r="H38" s="20" t="n">
        <v>4.4</v>
      </c>
      <c r="I38" s="10" t="s">
        <v>195</v>
      </c>
    </row>
    <row r="39" customFormat="false" ht="15" hidden="false" customHeight="false" outlineLevel="0" collapsed="false">
      <c r="A39" s="10" t="s">
        <v>226</v>
      </c>
      <c r="B39" s="10" t="s">
        <v>227</v>
      </c>
      <c r="C39" s="10" t="s">
        <v>228</v>
      </c>
      <c r="D39" s="10" t="s">
        <v>123</v>
      </c>
      <c r="E39" s="20" t="n">
        <v>24</v>
      </c>
      <c r="F39" s="20" t="n">
        <v>0.9</v>
      </c>
      <c r="G39" s="20" t="n">
        <v>0.1</v>
      </c>
      <c r="H39" s="20" t="n">
        <v>7.4</v>
      </c>
      <c r="I39" s="10" t="s">
        <v>195</v>
      </c>
    </row>
    <row r="40" customFormat="false" ht="15" hidden="false" customHeight="false" outlineLevel="0" collapsed="false">
      <c r="A40" s="10" t="s">
        <v>229</v>
      </c>
      <c r="B40" s="10" t="s">
        <v>230</v>
      </c>
      <c r="C40" s="10" t="s">
        <v>231</v>
      </c>
      <c r="D40" s="10" t="s">
        <v>232</v>
      </c>
      <c r="E40" s="20" t="n">
        <v>884</v>
      </c>
      <c r="F40" s="20" t="n">
        <v>0</v>
      </c>
      <c r="G40" s="20" t="n">
        <v>100</v>
      </c>
      <c r="H40" s="20" t="n">
        <v>0</v>
      </c>
      <c r="I40" s="10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9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5"/>
  </cols>
  <sheetData>
    <row r="1" customFormat="false" ht="18.55" hidden="false" customHeight="false" outlineLevel="0" collapsed="false">
      <c r="A1" s="1" t="s">
        <v>233</v>
      </c>
    </row>
    <row r="2" customFormat="false" ht="15" hidden="false" customHeight="false" outlineLevel="0" collapsed="false">
      <c r="A2" s="2" t="s">
        <v>234</v>
      </c>
    </row>
    <row r="4" customFormat="false" ht="33.75" hidden="false" customHeight="true" outlineLevel="0" collapsed="false">
      <c r="A4" s="8" t="s">
        <v>235</v>
      </c>
      <c r="B4" s="8" t="s">
        <v>236</v>
      </c>
      <c r="C4" s="8" t="s">
        <v>104</v>
      </c>
      <c r="D4" s="8" t="s">
        <v>237</v>
      </c>
      <c r="E4" s="8" t="s">
        <v>238</v>
      </c>
      <c r="F4" s="8" t="s">
        <v>239</v>
      </c>
      <c r="G4" s="8" t="s">
        <v>107</v>
      </c>
      <c r="H4" s="8" t="s">
        <v>108</v>
      </c>
      <c r="I4" s="8" t="s">
        <v>109</v>
      </c>
      <c r="J4" s="8" t="s">
        <v>110</v>
      </c>
    </row>
    <row r="5" customFormat="false" ht="15" hidden="false" customHeight="false" outlineLevel="0" collapsed="false">
      <c r="A5" s="10" t="s">
        <v>240</v>
      </c>
      <c r="B5" s="10" t="s">
        <v>241</v>
      </c>
      <c r="C5" s="10" t="s">
        <v>113</v>
      </c>
      <c r="D5" s="6" t="n">
        <v>3</v>
      </c>
      <c r="E5" s="20" t="s">
        <v>55</v>
      </c>
      <c r="F5" s="14" t="n">
        <f aca="false">D5*IFERROR(VLOOKUP(E5,Perfil!$B$19:$C$24,2,0),1)</f>
        <v>75</v>
      </c>
      <c r="G5" s="17" t="n">
        <f aca="false">F5/100*INDEX(Alimentos!$E$5:$E$40,MATCH($C5,Alimentos!$B$5:$B$40,0))</f>
        <v>237.75</v>
      </c>
      <c r="H5" s="17" t="n">
        <f aca="false">F5/100*INDEX(Alimentos!$F$5:$F$40,MATCH($C5,Alimentos!$B$5:$B$40,0))</f>
        <v>5.1</v>
      </c>
      <c r="I5" s="17" t="n">
        <f aca="false">F5/100*INDEX(Alimentos!$G$5:$G$40,MATCH($C5,Alimentos!$B$5:$B$40,0))</f>
        <v>1.875</v>
      </c>
      <c r="J5" s="17" t="n">
        <f aca="false">F5/100*INDEX(Alimentos!$H$5:$H$40,MATCH($C5,Alimentos!$B$5:$B$40,0))</f>
        <v>51.9</v>
      </c>
    </row>
    <row r="6" customFormat="false" ht="15" hidden="false" customHeight="false" outlineLevel="0" collapsed="false">
      <c r="A6" s="10" t="s">
        <v>240</v>
      </c>
      <c r="B6" s="10" t="s">
        <v>241</v>
      </c>
      <c r="C6" s="10" t="s">
        <v>121</v>
      </c>
      <c r="D6" s="6" t="n">
        <v>1</v>
      </c>
      <c r="E6" s="20" t="s">
        <v>56</v>
      </c>
      <c r="F6" s="14" t="n">
        <f aca="false">D6*IFERROR(VLOOKUP(E6,Perfil!$B$19:$C$24,2,0),1)</f>
        <v>25</v>
      </c>
      <c r="G6" s="17" t="n">
        <f aca="false">F6/100*INDEX(Alimentos!$E$5:$E$40,MATCH($C6,Alimentos!$B$5:$B$40,0))</f>
        <v>83.25</v>
      </c>
      <c r="H6" s="17" t="n">
        <f aca="false">F6/100*INDEX(Alimentos!$F$5:$F$40,MATCH($C6,Alimentos!$B$5:$B$40,0))</f>
        <v>3.325</v>
      </c>
      <c r="I6" s="17" t="n">
        <f aca="false">F6/100*INDEX(Alimentos!$G$5:$G$40,MATCH($C6,Alimentos!$B$5:$B$40,0))</f>
        <v>1</v>
      </c>
      <c r="J6" s="17" t="n">
        <f aca="false">F6/100*INDEX(Alimentos!$H$5:$H$40,MATCH($C6,Alimentos!$B$5:$B$40,0))</f>
        <v>18.05</v>
      </c>
    </row>
    <row r="7" customFormat="false" ht="15" hidden="false" customHeight="false" outlineLevel="0" collapsed="false">
      <c r="A7" s="10" t="s">
        <v>240</v>
      </c>
      <c r="B7" s="10" t="s">
        <v>241</v>
      </c>
      <c r="C7" s="10" t="s">
        <v>190</v>
      </c>
      <c r="D7" s="6" t="n">
        <v>45</v>
      </c>
      <c r="E7" s="20" t="s">
        <v>64</v>
      </c>
      <c r="F7" s="14" t="n">
        <f aca="false">D7*IFERROR(VLOOKUP(E7,Perfil!$B$19:$C$24,2,0),1)</f>
        <v>45</v>
      </c>
      <c r="G7" s="17" t="n">
        <f aca="false">F7/100*INDEX(Alimentos!$E$5:$E$40,MATCH($C7,Alimentos!$B$5:$B$40,0))</f>
        <v>58.5</v>
      </c>
      <c r="H7" s="17" t="n">
        <f aca="false">F7/100*INDEX(Alimentos!$F$5:$F$40,MATCH($C7,Alimentos!$B$5:$B$40,0))</f>
        <v>0.765</v>
      </c>
      <c r="I7" s="17" t="n">
        <f aca="false">F7/100*INDEX(Alimentos!$G$5:$G$40,MATCH($C7,Alimentos!$B$5:$B$40,0))</f>
        <v>5.625</v>
      </c>
      <c r="J7" s="17" t="n">
        <f aca="false">F7/100*INDEX(Alimentos!$H$5:$H$40,MATCH($C7,Alimentos!$B$5:$B$40,0))</f>
        <v>2.52</v>
      </c>
    </row>
    <row r="8" customFormat="false" ht="15" hidden="false" customHeight="false" outlineLevel="0" collapsed="false">
      <c r="A8" s="10" t="s">
        <v>240</v>
      </c>
      <c r="B8" s="10" t="s">
        <v>242</v>
      </c>
      <c r="C8" s="10" t="s">
        <v>128</v>
      </c>
      <c r="D8" s="6" t="n">
        <v>3</v>
      </c>
      <c r="E8" s="20" t="s">
        <v>58</v>
      </c>
      <c r="F8" s="14" t="n">
        <f aca="false">D8*IFERROR(VLOOKUP(E8,Perfil!$B$19:$C$24,2,0),1)</f>
        <v>210</v>
      </c>
      <c r="G8" s="17" t="n">
        <f aca="false">F8/100*INDEX(Alimentos!$E$5:$E$40,MATCH($C8,Alimentos!$B$5:$B$40,0))</f>
        <v>241.5</v>
      </c>
      <c r="H8" s="17" t="n">
        <f aca="false">F8/100*INDEX(Alimentos!$F$5:$F$40,MATCH($C8,Alimentos!$B$5:$B$40,0))</f>
        <v>5.04</v>
      </c>
      <c r="I8" s="17" t="n">
        <f aca="false">F8/100*INDEX(Alimentos!$G$5:$G$40,MATCH($C8,Alimentos!$B$5:$B$40,0))</f>
        <v>0.21</v>
      </c>
      <c r="J8" s="17" t="n">
        <f aca="false">F8/100*INDEX(Alimentos!$H$5:$H$40,MATCH($C8,Alimentos!$B$5:$B$40,0))</f>
        <v>52.92</v>
      </c>
    </row>
    <row r="9" customFormat="false" ht="15" hidden="false" customHeight="false" outlineLevel="0" collapsed="false">
      <c r="A9" s="10" t="s">
        <v>240</v>
      </c>
      <c r="B9" s="10" t="s">
        <v>242</v>
      </c>
      <c r="C9" s="10" t="s">
        <v>148</v>
      </c>
      <c r="D9" s="6" t="n">
        <v>150</v>
      </c>
      <c r="E9" s="20" t="s">
        <v>64</v>
      </c>
      <c r="F9" s="14" t="n">
        <f aca="false">D9*IFERROR(VLOOKUP(E9,Perfil!$B$19:$C$24,2,0),1)</f>
        <v>150</v>
      </c>
      <c r="G9" s="17" t="n">
        <f aca="false">F9/100*INDEX(Alimentos!$E$5:$E$40,MATCH($C9,Alimentos!$B$5:$B$40,0))</f>
        <v>162</v>
      </c>
      <c r="H9" s="17" t="n">
        <f aca="false">F9/100*INDEX(Alimentos!$F$5:$F$40,MATCH($C9,Alimentos!$B$5:$B$40,0))</f>
        <v>28.8</v>
      </c>
      <c r="I9" s="17" t="n">
        <f aca="false">F9/100*INDEX(Alimentos!$G$5:$G$40,MATCH($C9,Alimentos!$B$5:$B$40,0))</f>
        <v>4.35</v>
      </c>
      <c r="J9" s="17" t="n">
        <f aca="false">F9/100*INDEX(Alimentos!$H$5:$H$40,MATCH($C9,Alimentos!$B$5:$B$40,0))</f>
        <v>0</v>
      </c>
    </row>
    <row r="10" customFormat="false" ht="15" hidden="false" customHeight="false" outlineLevel="0" collapsed="false">
      <c r="A10" s="10" t="s">
        <v>240</v>
      </c>
      <c r="B10" s="10" t="s">
        <v>242</v>
      </c>
      <c r="C10" s="10" t="s">
        <v>193</v>
      </c>
      <c r="D10" s="6" t="n">
        <v>80</v>
      </c>
      <c r="E10" s="20" t="s">
        <v>64</v>
      </c>
      <c r="F10" s="14" t="n">
        <f aca="false">D10*IFERROR(VLOOKUP(E10,Perfil!$B$19:$C$24,2,0),1)</f>
        <v>80</v>
      </c>
      <c r="G10" s="17" t="n">
        <f aca="false">F10/100*INDEX(Alimentos!$E$5:$E$40,MATCH($C10,Alimentos!$B$5:$B$40,0))</f>
        <v>5.6</v>
      </c>
      <c r="H10" s="17" t="n">
        <f aca="false">F10/100*INDEX(Alimentos!$F$5:$F$40,MATCH($C10,Alimentos!$B$5:$B$40,0))</f>
        <v>0.48</v>
      </c>
      <c r="I10" s="17" t="n">
        <f aca="false">F10/100*INDEX(Alimentos!$G$5:$G$40,MATCH($C10,Alimentos!$B$5:$B$40,0))</f>
        <v>0.08</v>
      </c>
      <c r="J10" s="17" t="n">
        <f aca="false">F10/100*INDEX(Alimentos!$H$5:$H$40,MATCH($C10,Alimentos!$B$5:$B$40,0))</f>
        <v>1.92</v>
      </c>
    </row>
    <row r="11" customFormat="false" ht="15" hidden="false" customHeight="false" outlineLevel="0" collapsed="false">
      <c r="A11" s="10" t="s">
        <v>240</v>
      </c>
      <c r="B11" s="10" t="s">
        <v>242</v>
      </c>
      <c r="C11" s="10" t="s">
        <v>197</v>
      </c>
      <c r="D11" s="6" t="n">
        <v>80</v>
      </c>
      <c r="E11" s="20" t="s">
        <v>64</v>
      </c>
      <c r="F11" s="14" t="n">
        <f aca="false">D11*IFERROR(VLOOKUP(E11,Perfil!$B$19:$C$24,2,0),1)</f>
        <v>80</v>
      </c>
      <c r="G11" s="17" t="n">
        <f aca="false">F11/100*INDEX(Alimentos!$E$5:$E$40,MATCH($C11,Alimentos!$B$5:$B$40,0))</f>
        <v>12</v>
      </c>
      <c r="H11" s="17" t="n">
        <f aca="false">F11/100*INDEX(Alimentos!$F$5:$F$40,MATCH($C11,Alimentos!$B$5:$B$40,0))</f>
        <v>0.64</v>
      </c>
      <c r="I11" s="17" t="n">
        <f aca="false">F11/100*INDEX(Alimentos!$G$5:$G$40,MATCH($C11,Alimentos!$B$5:$B$40,0))</f>
        <v>0.16</v>
      </c>
      <c r="J11" s="17" t="n">
        <f aca="false">F11/100*INDEX(Alimentos!$H$5:$H$40,MATCH($C11,Alimentos!$B$5:$B$40,0))</f>
        <v>3.44</v>
      </c>
    </row>
    <row r="12" customFormat="false" ht="15" hidden="false" customHeight="false" outlineLevel="0" collapsed="false">
      <c r="A12" s="10" t="s">
        <v>240</v>
      </c>
      <c r="B12" s="10" t="s">
        <v>242</v>
      </c>
      <c r="C12" s="10" t="s">
        <v>200</v>
      </c>
      <c r="D12" s="6" t="n">
        <v>40</v>
      </c>
      <c r="E12" s="20" t="s">
        <v>64</v>
      </c>
      <c r="F12" s="14" t="n">
        <f aca="false">D12*IFERROR(VLOOKUP(E12,Perfil!$B$19:$C$24,2,0),1)</f>
        <v>40</v>
      </c>
      <c r="G12" s="17" t="n">
        <f aca="false">F12/100*INDEX(Alimentos!$E$5:$E$40,MATCH($C12,Alimentos!$B$5:$B$40,0))</f>
        <v>7.6</v>
      </c>
      <c r="H12" s="17" t="n">
        <f aca="false">F12/100*INDEX(Alimentos!$F$5:$F$40,MATCH($C12,Alimentos!$B$5:$B$40,0))</f>
        <v>0.4</v>
      </c>
      <c r="I12" s="17" t="n">
        <f aca="false">F12/100*INDEX(Alimentos!$G$5:$G$40,MATCH($C12,Alimentos!$B$5:$B$40,0))</f>
        <v>0.12</v>
      </c>
      <c r="J12" s="17" t="n">
        <f aca="false">F12/100*INDEX(Alimentos!$H$5:$H$40,MATCH($C12,Alimentos!$B$5:$B$40,0))</f>
        <v>3.04</v>
      </c>
    </row>
    <row r="13" customFormat="false" ht="15" hidden="false" customHeight="false" outlineLevel="0" collapsed="false">
      <c r="A13" s="10" t="s">
        <v>240</v>
      </c>
      <c r="B13" s="10" t="s">
        <v>242</v>
      </c>
      <c r="C13" s="10" t="s">
        <v>230</v>
      </c>
      <c r="D13" s="6" t="n">
        <v>1</v>
      </c>
      <c r="E13" s="20" t="s">
        <v>62</v>
      </c>
      <c r="F13" s="14" t="n">
        <f aca="false">D13*IFERROR(VLOOKUP(E13,Perfil!$B$19:$C$24,2,0),1)</f>
        <v>5</v>
      </c>
      <c r="G13" s="17" t="n">
        <f aca="false">F13/100*INDEX(Alimentos!$E$5:$E$40,MATCH($C13,Alimentos!$B$5:$B$40,0))</f>
        <v>44.2</v>
      </c>
      <c r="H13" s="17" t="n">
        <f aca="false">F13/100*INDEX(Alimentos!$F$5:$F$40,MATCH($C13,Alimentos!$B$5:$B$40,0))</f>
        <v>0</v>
      </c>
      <c r="I13" s="17" t="n">
        <f aca="false">F13/100*INDEX(Alimentos!$G$5:$G$40,MATCH($C13,Alimentos!$B$5:$B$40,0))</f>
        <v>5</v>
      </c>
      <c r="J13" s="17" t="n">
        <f aca="false">F13/100*INDEX(Alimentos!$H$5:$H$40,MATCH($C13,Alimentos!$B$5:$B$40,0))</f>
        <v>0</v>
      </c>
    </row>
    <row r="14" customFormat="false" ht="15" hidden="false" customHeight="false" outlineLevel="0" collapsed="false">
      <c r="A14" s="10" t="s">
        <v>240</v>
      </c>
      <c r="B14" s="10" t="s">
        <v>243</v>
      </c>
      <c r="C14" s="10" t="s">
        <v>113</v>
      </c>
      <c r="D14" s="6" t="n">
        <v>2</v>
      </c>
      <c r="E14" s="20" t="s">
        <v>55</v>
      </c>
      <c r="F14" s="14" t="n">
        <f aca="false">D14*IFERROR(VLOOKUP(E14,Perfil!$B$19:$C$24,2,0),1)</f>
        <v>50</v>
      </c>
      <c r="G14" s="17" t="n">
        <f aca="false">F14/100*INDEX(Alimentos!$E$5:$E$40,MATCH($C14,Alimentos!$B$5:$B$40,0))</f>
        <v>158.5</v>
      </c>
      <c r="H14" s="17" t="n">
        <f aca="false">F14/100*INDEX(Alimentos!$F$5:$F$40,MATCH($C14,Alimentos!$B$5:$B$40,0))</f>
        <v>3.4</v>
      </c>
      <c r="I14" s="17" t="n">
        <f aca="false">F14/100*INDEX(Alimentos!$G$5:$G$40,MATCH($C14,Alimentos!$B$5:$B$40,0))</f>
        <v>1.25</v>
      </c>
      <c r="J14" s="17" t="n">
        <f aca="false">F14/100*INDEX(Alimentos!$H$5:$H$40,MATCH($C14,Alimentos!$B$5:$B$40,0))</f>
        <v>34.6</v>
      </c>
    </row>
    <row r="15" customFormat="false" ht="15" hidden="false" customHeight="false" outlineLevel="0" collapsed="false">
      <c r="A15" s="10" t="s">
        <v>240</v>
      </c>
      <c r="B15" s="10" t="s">
        <v>243</v>
      </c>
      <c r="C15" s="10" t="s">
        <v>121</v>
      </c>
      <c r="D15" s="6" t="n">
        <v>2</v>
      </c>
      <c r="E15" s="20" t="s">
        <v>56</v>
      </c>
      <c r="F15" s="14" t="n">
        <f aca="false">D15*IFERROR(VLOOKUP(E15,Perfil!$B$19:$C$24,2,0),1)</f>
        <v>50</v>
      </c>
      <c r="G15" s="17" t="n">
        <f aca="false">F15/100*INDEX(Alimentos!$E$5:$E$40,MATCH($C15,Alimentos!$B$5:$B$40,0))</f>
        <v>166.5</v>
      </c>
      <c r="H15" s="17" t="n">
        <f aca="false">F15/100*INDEX(Alimentos!$F$5:$F$40,MATCH($C15,Alimentos!$B$5:$B$40,0))</f>
        <v>6.65</v>
      </c>
      <c r="I15" s="17" t="n">
        <f aca="false">F15/100*INDEX(Alimentos!$G$5:$G$40,MATCH($C15,Alimentos!$B$5:$B$40,0))</f>
        <v>2</v>
      </c>
      <c r="J15" s="17" t="n">
        <f aca="false">F15/100*INDEX(Alimentos!$H$5:$H$40,MATCH($C15,Alimentos!$B$5:$B$40,0))</f>
        <v>36.1</v>
      </c>
    </row>
    <row r="16" customFormat="false" ht="15" hidden="false" customHeight="false" outlineLevel="0" collapsed="false">
      <c r="A16" s="10" t="s">
        <v>240</v>
      </c>
      <c r="B16" s="10" t="s">
        <v>243</v>
      </c>
      <c r="C16" s="10" t="s">
        <v>190</v>
      </c>
      <c r="D16" s="6" t="n">
        <v>45</v>
      </c>
      <c r="E16" s="20" t="s">
        <v>64</v>
      </c>
      <c r="F16" s="14" t="n">
        <f aca="false">D16*IFERROR(VLOOKUP(E16,Perfil!$B$19:$C$24,2,0),1)</f>
        <v>45</v>
      </c>
      <c r="G16" s="17" t="n">
        <f aca="false">F16/100*INDEX(Alimentos!$E$5:$E$40,MATCH($C16,Alimentos!$B$5:$B$40,0))</f>
        <v>58.5</v>
      </c>
      <c r="H16" s="17" t="n">
        <f aca="false">F16/100*INDEX(Alimentos!$F$5:$F$40,MATCH($C16,Alimentos!$B$5:$B$40,0))</f>
        <v>0.765</v>
      </c>
      <c r="I16" s="17" t="n">
        <f aca="false">F16/100*INDEX(Alimentos!$G$5:$G$40,MATCH($C16,Alimentos!$B$5:$B$40,0))</f>
        <v>5.625</v>
      </c>
      <c r="J16" s="17" t="n">
        <f aca="false">F16/100*INDEX(Alimentos!$H$5:$H$40,MATCH($C16,Alimentos!$B$5:$B$40,0))</f>
        <v>2.52</v>
      </c>
    </row>
    <row r="17" customFormat="false" ht="15" hidden="false" customHeight="false" outlineLevel="0" collapsed="false">
      <c r="A17" s="10" t="s">
        <v>240</v>
      </c>
      <c r="B17" s="10" t="s">
        <v>244</v>
      </c>
      <c r="C17" s="10" t="s">
        <v>133</v>
      </c>
      <c r="D17" s="6" t="n">
        <v>2</v>
      </c>
      <c r="E17" s="20" t="s">
        <v>60</v>
      </c>
      <c r="F17" s="14" t="n">
        <f aca="false">D17*IFERROR(VLOOKUP(E17,Perfil!$B$19:$C$24,2,0),1)</f>
        <v>300</v>
      </c>
      <c r="G17" s="17" t="n">
        <f aca="false">F17/100*INDEX(Alimentos!$E$5:$E$40,MATCH($C17,Alimentos!$B$5:$B$40,0))</f>
        <v>261</v>
      </c>
      <c r="H17" s="17" t="n">
        <f aca="false">F17/100*INDEX(Alimentos!$F$5:$F$40,MATCH($C17,Alimentos!$B$5:$B$40,0))</f>
        <v>6.3</v>
      </c>
      <c r="I17" s="17" t="n">
        <f aca="false">F17/100*INDEX(Alimentos!$G$5:$G$40,MATCH($C17,Alimentos!$B$5:$B$40,0))</f>
        <v>0.3</v>
      </c>
      <c r="J17" s="17" t="n">
        <f aca="false">F17/100*INDEX(Alimentos!$H$5:$H$40,MATCH($C17,Alimentos!$B$5:$B$40,0))</f>
        <v>66.9</v>
      </c>
    </row>
    <row r="18" customFormat="false" ht="15" hidden="false" customHeight="false" outlineLevel="0" collapsed="false">
      <c r="A18" s="10" t="s">
        <v>240</v>
      </c>
      <c r="B18" s="10" t="s">
        <v>244</v>
      </c>
      <c r="C18" s="10" t="s">
        <v>158</v>
      </c>
      <c r="D18" s="6" t="n">
        <v>150</v>
      </c>
      <c r="E18" s="20" t="s">
        <v>64</v>
      </c>
      <c r="F18" s="14" t="n">
        <f aca="false">D18*IFERROR(VLOOKUP(E18,Perfil!$B$19:$C$24,2,0),1)</f>
        <v>150</v>
      </c>
      <c r="G18" s="17" t="n">
        <f aca="false">F18/100*INDEX(Alimentos!$E$5:$E$40,MATCH($C18,Alimentos!$B$5:$B$40,0))</f>
        <v>144</v>
      </c>
      <c r="H18" s="17" t="n">
        <f aca="false">F18/100*INDEX(Alimentos!$F$5:$F$40,MATCH($C18,Alimentos!$B$5:$B$40,0))</f>
        <v>30.15</v>
      </c>
      <c r="I18" s="17" t="n">
        <f aca="false">F18/100*INDEX(Alimentos!$G$5:$G$40,MATCH($C18,Alimentos!$B$5:$B$40,0))</f>
        <v>2.55</v>
      </c>
      <c r="J18" s="17" t="n">
        <f aca="false">F18/100*INDEX(Alimentos!$H$5:$H$40,MATCH($C18,Alimentos!$B$5:$B$40,0))</f>
        <v>0</v>
      </c>
    </row>
    <row r="19" customFormat="false" ht="15" hidden="false" customHeight="false" outlineLevel="0" collapsed="false">
      <c r="A19" s="10" t="s">
        <v>240</v>
      </c>
      <c r="B19" s="10" t="s">
        <v>244</v>
      </c>
      <c r="C19" s="10" t="s">
        <v>203</v>
      </c>
      <c r="D19" s="6" t="n">
        <v>100</v>
      </c>
      <c r="E19" s="20" t="s">
        <v>64</v>
      </c>
      <c r="F19" s="14" t="n">
        <f aca="false">D19*IFERROR(VLOOKUP(E19,Perfil!$B$19:$C$24,2,0),1)</f>
        <v>100</v>
      </c>
      <c r="G19" s="17" t="n">
        <f aca="false">F19/100*INDEX(Alimentos!$E$5:$E$40,MATCH($C19,Alimentos!$B$5:$B$40,0))</f>
        <v>32</v>
      </c>
      <c r="H19" s="17" t="n">
        <f aca="false">F19/100*INDEX(Alimentos!$F$5:$F$40,MATCH($C19,Alimentos!$B$5:$B$40,0))</f>
        <v>3.9</v>
      </c>
      <c r="I19" s="17" t="n">
        <f aca="false">F19/100*INDEX(Alimentos!$G$5:$G$40,MATCH($C19,Alimentos!$B$5:$B$40,0))</f>
        <v>1.3</v>
      </c>
      <c r="J19" s="17" t="n">
        <f aca="false">F19/100*INDEX(Alimentos!$H$5:$H$40,MATCH($C19,Alimentos!$B$5:$B$40,0))</f>
        <v>4</v>
      </c>
    </row>
    <row r="20" customFormat="false" ht="15" hidden="false" customHeight="false" outlineLevel="0" collapsed="false">
      <c r="A20" s="10" t="s">
        <v>240</v>
      </c>
      <c r="B20" s="10" t="s">
        <v>244</v>
      </c>
      <c r="C20" s="10" t="s">
        <v>200</v>
      </c>
      <c r="D20" s="6" t="n">
        <v>50</v>
      </c>
      <c r="E20" s="20" t="s">
        <v>64</v>
      </c>
      <c r="F20" s="14" t="n">
        <f aca="false">D20*IFERROR(VLOOKUP(E20,Perfil!$B$19:$C$24,2,0),1)</f>
        <v>50</v>
      </c>
      <c r="G20" s="17" t="n">
        <f aca="false">F20/100*INDEX(Alimentos!$E$5:$E$40,MATCH($C20,Alimentos!$B$5:$B$40,0))</f>
        <v>9.5</v>
      </c>
      <c r="H20" s="17" t="n">
        <f aca="false">F20/100*INDEX(Alimentos!$F$5:$F$40,MATCH($C20,Alimentos!$B$5:$B$40,0))</f>
        <v>0.5</v>
      </c>
      <c r="I20" s="17" t="n">
        <f aca="false">F20/100*INDEX(Alimentos!$G$5:$G$40,MATCH($C20,Alimentos!$B$5:$B$40,0))</f>
        <v>0.15</v>
      </c>
      <c r="J20" s="17" t="n">
        <f aca="false">F20/100*INDEX(Alimentos!$H$5:$H$40,MATCH($C20,Alimentos!$B$5:$B$40,0))</f>
        <v>3.8</v>
      </c>
    </row>
    <row r="21" customFormat="false" ht="15" hidden="false" customHeight="false" outlineLevel="0" collapsed="false">
      <c r="A21" s="10" t="s">
        <v>240</v>
      </c>
      <c r="B21" s="10" t="s">
        <v>244</v>
      </c>
      <c r="C21" s="10" t="s">
        <v>207</v>
      </c>
      <c r="D21" s="6" t="n">
        <v>50</v>
      </c>
      <c r="E21" s="20" t="s">
        <v>64</v>
      </c>
      <c r="F21" s="14" t="n">
        <f aca="false">D21*IFERROR(VLOOKUP(E21,Perfil!$B$19:$C$24,2,0),1)</f>
        <v>50</v>
      </c>
      <c r="G21" s="17" t="n">
        <f aca="false">F21/100*INDEX(Alimentos!$E$5:$E$40,MATCH($C21,Alimentos!$B$5:$B$40,0))</f>
        <v>13.5</v>
      </c>
      <c r="H21" s="17" t="n">
        <f aca="false">F21/100*INDEX(Alimentos!$F$5:$F$40,MATCH($C21,Alimentos!$B$5:$B$40,0))</f>
        <v>0.6</v>
      </c>
      <c r="I21" s="17" t="n">
        <f aca="false">F21/100*INDEX(Alimentos!$G$5:$G$40,MATCH($C21,Alimentos!$B$5:$B$40,0))</f>
        <v>0.65</v>
      </c>
      <c r="J21" s="17" t="n">
        <f aca="false">F21/100*INDEX(Alimentos!$H$5:$H$40,MATCH($C21,Alimentos!$B$5:$B$40,0))</f>
        <v>2.3</v>
      </c>
    </row>
    <row r="22" customFormat="false" ht="15" hidden="false" customHeight="false" outlineLevel="0" collapsed="false">
      <c r="A22" s="10" t="s">
        <v>245</v>
      </c>
      <c r="B22" s="10" t="s">
        <v>241</v>
      </c>
      <c r="C22" s="10" t="s">
        <v>113</v>
      </c>
      <c r="D22" s="6" t="n">
        <v>3</v>
      </c>
      <c r="E22" s="20" t="s">
        <v>55</v>
      </c>
      <c r="F22" s="14" t="n">
        <f aca="false">D22*IFERROR(VLOOKUP(E22,Perfil!$B$19:$C$24,2,0),1)</f>
        <v>75</v>
      </c>
      <c r="G22" s="17" t="n">
        <f aca="false">F22/100*INDEX(Alimentos!$E$5:$E$40,MATCH($C22,Alimentos!$B$5:$B$40,0))</f>
        <v>237.75</v>
      </c>
      <c r="H22" s="17" t="n">
        <f aca="false">F22/100*INDEX(Alimentos!$F$5:$F$40,MATCH($C22,Alimentos!$B$5:$B$40,0))</f>
        <v>5.1</v>
      </c>
      <c r="I22" s="17" t="n">
        <f aca="false">F22/100*INDEX(Alimentos!$G$5:$G$40,MATCH($C22,Alimentos!$B$5:$B$40,0))</f>
        <v>1.875</v>
      </c>
      <c r="J22" s="17" t="n">
        <f aca="false">F22/100*INDEX(Alimentos!$H$5:$H$40,MATCH($C22,Alimentos!$B$5:$B$40,0))</f>
        <v>51.9</v>
      </c>
    </row>
    <row r="23" customFormat="false" ht="15" hidden="false" customHeight="false" outlineLevel="0" collapsed="false">
      <c r="A23" s="10" t="s">
        <v>245</v>
      </c>
      <c r="B23" s="10" t="s">
        <v>241</v>
      </c>
      <c r="C23" s="10" t="s">
        <v>121</v>
      </c>
      <c r="D23" s="6" t="n">
        <v>1</v>
      </c>
      <c r="E23" s="20" t="s">
        <v>56</v>
      </c>
      <c r="F23" s="14" t="n">
        <f aca="false">D23*IFERROR(VLOOKUP(E23,Perfil!$B$19:$C$24,2,0),1)</f>
        <v>25</v>
      </c>
      <c r="G23" s="17" t="n">
        <f aca="false">F23/100*INDEX(Alimentos!$E$5:$E$40,MATCH($C23,Alimentos!$B$5:$B$40,0))</f>
        <v>83.25</v>
      </c>
      <c r="H23" s="17" t="n">
        <f aca="false">F23/100*INDEX(Alimentos!$F$5:$F$40,MATCH($C23,Alimentos!$B$5:$B$40,0))</f>
        <v>3.325</v>
      </c>
      <c r="I23" s="17" t="n">
        <f aca="false">F23/100*INDEX(Alimentos!$G$5:$G$40,MATCH($C23,Alimentos!$B$5:$B$40,0))</f>
        <v>1</v>
      </c>
      <c r="J23" s="17" t="n">
        <f aca="false">F23/100*INDEX(Alimentos!$H$5:$H$40,MATCH($C23,Alimentos!$B$5:$B$40,0))</f>
        <v>18.05</v>
      </c>
    </row>
    <row r="24" customFormat="false" ht="15" hidden="false" customHeight="false" outlineLevel="0" collapsed="false">
      <c r="A24" s="10" t="s">
        <v>245</v>
      </c>
      <c r="B24" s="10" t="s">
        <v>241</v>
      </c>
      <c r="C24" s="10" t="s">
        <v>190</v>
      </c>
      <c r="D24" s="6" t="n">
        <v>45</v>
      </c>
      <c r="E24" s="20" t="s">
        <v>64</v>
      </c>
      <c r="F24" s="14" t="n">
        <f aca="false">D24*IFERROR(VLOOKUP(E24,Perfil!$B$19:$C$24,2,0),1)</f>
        <v>45</v>
      </c>
      <c r="G24" s="17" t="n">
        <f aca="false">F24/100*INDEX(Alimentos!$E$5:$E$40,MATCH($C24,Alimentos!$B$5:$B$40,0))</f>
        <v>58.5</v>
      </c>
      <c r="H24" s="17" t="n">
        <f aca="false">F24/100*INDEX(Alimentos!$F$5:$F$40,MATCH($C24,Alimentos!$B$5:$B$40,0))</f>
        <v>0.765</v>
      </c>
      <c r="I24" s="17" t="n">
        <f aca="false">F24/100*INDEX(Alimentos!$G$5:$G$40,MATCH($C24,Alimentos!$B$5:$B$40,0))</f>
        <v>5.625</v>
      </c>
      <c r="J24" s="17" t="n">
        <f aca="false">F24/100*INDEX(Alimentos!$H$5:$H$40,MATCH($C24,Alimentos!$B$5:$B$40,0))</f>
        <v>2.52</v>
      </c>
    </row>
    <row r="25" customFormat="false" ht="15" hidden="false" customHeight="false" outlineLevel="0" collapsed="false">
      <c r="A25" s="10" t="s">
        <v>245</v>
      </c>
      <c r="B25" s="10" t="s">
        <v>242</v>
      </c>
      <c r="C25" s="10" t="s">
        <v>142</v>
      </c>
      <c r="D25" s="6" t="n">
        <v>250</v>
      </c>
      <c r="E25" s="20" t="s">
        <v>64</v>
      </c>
      <c r="F25" s="14" t="n">
        <f aca="false">D25*IFERROR(VLOOKUP(E25,Perfil!$B$19:$C$24,2,0),1)</f>
        <v>250</v>
      </c>
      <c r="G25" s="17" t="n">
        <f aca="false">F25/100*INDEX(Alimentos!$E$5:$E$40,MATCH($C25,Alimentos!$B$5:$B$40,0))</f>
        <v>225</v>
      </c>
      <c r="H25" s="17" t="n">
        <f aca="false">F25/100*INDEX(Alimentos!$F$5:$F$40,MATCH($C25,Alimentos!$B$5:$B$40,0))</f>
        <v>7.75</v>
      </c>
      <c r="I25" s="17" t="n">
        <f aca="false">F25/100*INDEX(Alimentos!$G$5:$G$40,MATCH($C25,Alimentos!$B$5:$B$40,0))</f>
        <v>0</v>
      </c>
      <c r="J25" s="17" t="n">
        <f aca="false">F25/100*INDEX(Alimentos!$H$5:$H$40,MATCH($C25,Alimentos!$B$5:$B$40,0))</f>
        <v>53.25</v>
      </c>
    </row>
    <row r="26" customFormat="false" ht="15" hidden="false" customHeight="false" outlineLevel="0" collapsed="false">
      <c r="A26" s="10" t="s">
        <v>245</v>
      </c>
      <c r="B26" s="10" t="s">
        <v>242</v>
      </c>
      <c r="C26" s="10" t="s">
        <v>155</v>
      </c>
      <c r="D26" s="6" t="n">
        <v>140</v>
      </c>
      <c r="E26" s="20" t="s">
        <v>64</v>
      </c>
      <c r="F26" s="14" t="n">
        <f aca="false">D26*IFERROR(VLOOKUP(E26,Perfil!$B$19:$C$24,2,0),1)</f>
        <v>140</v>
      </c>
      <c r="G26" s="17" t="n">
        <f aca="false">F26/100*INDEX(Alimentos!$E$5:$E$40,MATCH($C26,Alimentos!$B$5:$B$40,0))</f>
        <v>147</v>
      </c>
      <c r="H26" s="17" t="n">
        <f aca="false">F26/100*INDEX(Alimentos!$F$5:$F$40,MATCH($C26,Alimentos!$B$5:$B$40,0))</f>
        <v>29.82</v>
      </c>
      <c r="I26" s="17" t="n">
        <f aca="false">F26/100*INDEX(Alimentos!$G$5:$G$40,MATCH($C26,Alimentos!$B$5:$B$40,0))</f>
        <v>2.24</v>
      </c>
      <c r="J26" s="17" t="n">
        <f aca="false">F26/100*INDEX(Alimentos!$H$5:$H$40,MATCH($C26,Alimentos!$B$5:$B$40,0))</f>
        <v>0</v>
      </c>
    </row>
    <row r="27" customFormat="false" ht="15" hidden="false" customHeight="false" outlineLevel="0" collapsed="false">
      <c r="A27" s="10" t="s">
        <v>245</v>
      </c>
      <c r="B27" s="10" t="s">
        <v>242</v>
      </c>
      <c r="C27" s="10" t="s">
        <v>210</v>
      </c>
      <c r="D27" s="6" t="n">
        <v>80</v>
      </c>
      <c r="E27" s="20" t="s">
        <v>64</v>
      </c>
      <c r="F27" s="14" t="n">
        <f aca="false">D27*IFERROR(VLOOKUP(E27,Perfil!$B$19:$C$24,2,0),1)</f>
        <v>80</v>
      </c>
      <c r="G27" s="17" t="n">
        <f aca="false">F27/100*INDEX(Alimentos!$E$5:$E$40,MATCH($C27,Alimentos!$B$5:$B$40,0))</f>
        <v>12</v>
      </c>
      <c r="H27" s="17" t="n">
        <f aca="false">F27/100*INDEX(Alimentos!$F$5:$F$40,MATCH($C27,Alimentos!$B$5:$B$40,0))</f>
        <v>1.2</v>
      </c>
      <c r="I27" s="17" t="n">
        <f aca="false">F27/100*INDEX(Alimentos!$G$5:$G$40,MATCH($C27,Alimentos!$B$5:$B$40,0))</f>
        <v>0.24</v>
      </c>
      <c r="J27" s="17" t="n">
        <f aca="false">F27/100*INDEX(Alimentos!$H$5:$H$40,MATCH($C27,Alimentos!$B$5:$B$40,0))</f>
        <v>3.92</v>
      </c>
    </row>
    <row r="28" customFormat="false" ht="15" hidden="false" customHeight="false" outlineLevel="0" collapsed="false">
      <c r="A28" s="10" t="s">
        <v>245</v>
      </c>
      <c r="B28" s="10" t="s">
        <v>242</v>
      </c>
      <c r="C28" s="10" t="s">
        <v>213</v>
      </c>
      <c r="D28" s="6" t="n">
        <v>50</v>
      </c>
      <c r="E28" s="20" t="s">
        <v>64</v>
      </c>
      <c r="F28" s="14" t="n">
        <f aca="false">D28*IFERROR(VLOOKUP(E28,Perfil!$B$19:$C$24,2,0),1)</f>
        <v>50</v>
      </c>
      <c r="G28" s="17" t="n">
        <f aca="false">F28/100*INDEX(Alimentos!$E$5:$E$40,MATCH($C28,Alimentos!$B$5:$B$40,0))</f>
        <v>9</v>
      </c>
      <c r="H28" s="17" t="n">
        <f aca="false">F28/100*INDEX(Alimentos!$F$5:$F$40,MATCH($C28,Alimentos!$B$5:$B$40,0))</f>
        <v>1</v>
      </c>
      <c r="I28" s="17" t="n">
        <f aca="false">F28/100*INDEX(Alimentos!$G$5:$G$40,MATCH($C28,Alimentos!$B$5:$B$40,0))</f>
        <v>0.15</v>
      </c>
      <c r="J28" s="17" t="n">
        <f aca="false">F28/100*INDEX(Alimentos!$H$5:$H$40,MATCH($C28,Alimentos!$B$5:$B$40,0))</f>
        <v>2.7</v>
      </c>
    </row>
    <row r="29" customFormat="false" ht="15" hidden="false" customHeight="false" outlineLevel="0" collapsed="false">
      <c r="A29" s="10" t="s">
        <v>245</v>
      </c>
      <c r="B29" s="10" t="s">
        <v>242</v>
      </c>
      <c r="C29" s="10" t="s">
        <v>197</v>
      </c>
      <c r="D29" s="6" t="n">
        <v>70</v>
      </c>
      <c r="E29" s="20" t="s">
        <v>64</v>
      </c>
      <c r="F29" s="14" t="n">
        <f aca="false">D29*IFERROR(VLOOKUP(E29,Perfil!$B$19:$C$24,2,0),1)</f>
        <v>70</v>
      </c>
      <c r="G29" s="17" t="n">
        <f aca="false">F29/100*INDEX(Alimentos!$E$5:$E$40,MATCH($C29,Alimentos!$B$5:$B$40,0))</f>
        <v>10.5</v>
      </c>
      <c r="H29" s="17" t="n">
        <f aca="false">F29/100*INDEX(Alimentos!$F$5:$F$40,MATCH($C29,Alimentos!$B$5:$B$40,0))</f>
        <v>0.56</v>
      </c>
      <c r="I29" s="17" t="n">
        <f aca="false">F29/100*INDEX(Alimentos!$G$5:$G$40,MATCH($C29,Alimentos!$B$5:$B$40,0))</f>
        <v>0.14</v>
      </c>
      <c r="J29" s="17" t="n">
        <f aca="false">F29/100*INDEX(Alimentos!$H$5:$H$40,MATCH($C29,Alimentos!$B$5:$B$40,0))</f>
        <v>3.01</v>
      </c>
    </row>
    <row r="30" customFormat="false" ht="15" hidden="false" customHeight="false" outlineLevel="0" collapsed="false">
      <c r="A30" s="10" t="s">
        <v>245</v>
      </c>
      <c r="B30" s="10" t="s">
        <v>242</v>
      </c>
      <c r="C30" s="10" t="s">
        <v>230</v>
      </c>
      <c r="D30" s="6" t="n">
        <v>1</v>
      </c>
      <c r="E30" s="20" t="s">
        <v>62</v>
      </c>
      <c r="F30" s="14" t="n">
        <f aca="false">D30*IFERROR(VLOOKUP(E30,Perfil!$B$19:$C$24,2,0),1)</f>
        <v>5</v>
      </c>
      <c r="G30" s="17" t="n">
        <f aca="false">F30/100*INDEX(Alimentos!$E$5:$E$40,MATCH($C30,Alimentos!$B$5:$B$40,0))</f>
        <v>44.2</v>
      </c>
      <c r="H30" s="17" t="n">
        <f aca="false">F30/100*INDEX(Alimentos!$F$5:$F$40,MATCH($C30,Alimentos!$B$5:$B$40,0))</f>
        <v>0</v>
      </c>
      <c r="I30" s="17" t="n">
        <f aca="false">F30/100*INDEX(Alimentos!$G$5:$G$40,MATCH($C30,Alimentos!$B$5:$B$40,0))</f>
        <v>5</v>
      </c>
      <c r="J30" s="17" t="n">
        <f aca="false">F30/100*INDEX(Alimentos!$H$5:$H$40,MATCH($C30,Alimentos!$B$5:$B$40,0))</f>
        <v>0</v>
      </c>
    </row>
    <row r="31" customFormat="false" ht="15" hidden="false" customHeight="false" outlineLevel="0" collapsed="false">
      <c r="A31" s="10" t="s">
        <v>245</v>
      </c>
      <c r="B31" s="10" t="s">
        <v>243</v>
      </c>
      <c r="C31" s="10" t="s">
        <v>113</v>
      </c>
      <c r="D31" s="6" t="n">
        <v>2</v>
      </c>
      <c r="E31" s="20" t="s">
        <v>55</v>
      </c>
      <c r="F31" s="14" t="n">
        <f aca="false">D31*IFERROR(VLOOKUP(E31,Perfil!$B$19:$C$24,2,0),1)</f>
        <v>50</v>
      </c>
      <c r="G31" s="17" t="n">
        <f aca="false">F31/100*INDEX(Alimentos!$E$5:$E$40,MATCH($C31,Alimentos!$B$5:$B$40,0))</f>
        <v>158.5</v>
      </c>
      <c r="H31" s="17" t="n">
        <f aca="false">F31/100*INDEX(Alimentos!$F$5:$F$40,MATCH($C31,Alimentos!$B$5:$B$40,0))</f>
        <v>3.4</v>
      </c>
      <c r="I31" s="17" t="n">
        <f aca="false">F31/100*INDEX(Alimentos!$G$5:$G$40,MATCH($C31,Alimentos!$B$5:$B$40,0))</f>
        <v>1.25</v>
      </c>
      <c r="J31" s="17" t="n">
        <f aca="false">F31/100*INDEX(Alimentos!$H$5:$H$40,MATCH($C31,Alimentos!$B$5:$B$40,0))</f>
        <v>34.6</v>
      </c>
    </row>
    <row r="32" customFormat="false" ht="15" hidden="false" customHeight="false" outlineLevel="0" collapsed="false">
      <c r="A32" s="10" t="s">
        <v>245</v>
      </c>
      <c r="B32" s="10" t="s">
        <v>243</v>
      </c>
      <c r="C32" s="10" t="s">
        <v>121</v>
      </c>
      <c r="D32" s="6" t="n">
        <v>2</v>
      </c>
      <c r="E32" s="20" t="s">
        <v>56</v>
      </c>
      <c r="F32" s="14" t="n">
        <f aca="false">D32*IFERROR(VLOOKUP(E32,Perfil!$B$19:$C$24,2,0),1)</f>
        <v>50</v>
      </c>
      <c r="G32" s="17" t="n">
        <f aca="false">F32/100*INDEX(Alimentos!$E$5:$E$40,MATCH($C32,Alimentos!$B$5:$B$40,0))</f>
        <v>166.5</v>
      </c>
      <c r="H32" s="17" t="n">
        <f aca="false">F32/100*INDEX(Alimentos!$F$5:$F$40,MATCH($C32,Alimentos!$B$5:$B$40,0))</f>
        <v>6.65</v>
      </c>
      <c r="I32" s="17" t="n">
        <f aca="false">F32/100*INDEX(Alimentos!$G$5:$G$40,MATCH($C32,Alimentos!$B$5:$B$40,0))</f>
        <v>2</v>
      </c>
      <c r="J32" s="17" t="n">
        <f aca="false">F32/100*INDEX(Alimentos!$H$5:$H$40,MATCH($C32,Alimentos!$B$5:$B$40,0))</f>
        <v>36.1</v>
      </c>
    </row>
    <row r="33" customFormat="false" ht="15" hidden="false" customHeight="false" outlineLevel="0" collapsed="false">
      <c r="A33" s="10" t="s">
        <v>245</v>
      </c>
      <c r="B33" s="10" t="s">
        <v>243</v>
      </c>
      <c r="C33" s="10" t="s">
        <v>190</v>
      </c>
      <c r="D33" s="6" t="n">
        <v>45</v>
      </c>
      <c r="E33" s="20" t="s">
        <v>64</v>
      </c>
      <c r="F33" s="14" t="n">
        <f aca="false">D33*IFERROR(VLOOKUP(E33,Perfil!$B$19:$C$24,2,0),1)</f>
        <v>45</v>
      </c>
      <c r="G33" s="17" t="n">
        <f aca="false">F33/100*INDEX(Alimentos!$E$5:$E$40,MATCH($C33,Alimentos!$B$5:$B$40,0))</f>
        <v>58.5</v>
      </c>
      <c r="H33" s="17" t="n">
        <f aca="false">F33/100*INDEX(Alimentos!$F$5:$F$40,MATCH($C33,Alimentos!$B$5:$B$40,0))</f>
        <v>0.765</v>
      </c>
      <c r="I33" s="17" t="n">
        <f aca="false">F33/100*INDEX(Alimentos!$G$5:$G$40,MATCH($C33,Alimentos!$B$5:$B$40,0))</f>
        <v>5.625</v>
      </c>
      <c r="J33" s="17" t="n">
        <f aca="false">F33/100*INDEX(Alimentos!$H$5:$H$40,MATCH($C33,Alimentos!$B$5:$B$40,0))</f>
        <v>2.52</v>
      </c>
    </row>
    <row r="34" customFormat="false" ht="15" hidden="false" customHeight="false" outlineLevel="0" collapsed="false">
      <c r="A34" s="10" t="s">
        <v>245</v>
      </c>
      <c r="B34" s="10" t="s">
        <v>244</v>
      </c>
      <c r="C34" s="10" t="s">
        <v>128</v>
      </c>
      <c r="D34" s="6" t="n">
        <v>3</v>
      </c>
      <c r="E34" s="20" t="s">
        <v>58</v>
      </c>
      <c r="F34" s="14" t="n">
        <f aca="false">D34*IFERROR(VLOOKUP(E34,Perfil!$B$19:$C$24,2,0),1)</f>
        <v>210</v>
      </c>
      <c r="G34" s="17" t="n">
        <f aca="false">F34/100*INDEX(Alimentos!$E$5:$E$40,MATCH($C34,Alimentos!$B$5:$B$40,0))</f>
        <v>241.5</v>
      </c>
      <c r="H34" s="17" t="n">
        <f aca="false">F34/100*INDEX(Alimentos!$F$5:$F$40,MATCH($C34,Alimentos!$B$5:$B$40,0))</f>
        <v>5.04</v>
      </c>
      <c r="I34" s="17" t="n">
        <f aca="false">F34/100*INDEX(Alimentos!$G$5:$G$40,MATCH($C34,Alimentos!$B$5:$B$40,0))</f>
        <v>0.21</v>
      </c>
      <c r="J34" s="17" t="n">
        <f aca="false">F34/100*INDEX(Alimentos!$H$5:$H$40,MATCH($C34,Alimentos!$B$5:$B$40,0))</f>
        <v>52.92</v>
      </c>
    </row>
    <row r="35" customFormat="false" ht="15" hidden="false" customHeight="false" outlineLevel="0" collapsed="false">
      <c r="A35" s="10" t="s">
        <v>245</v>
      </c>
      <c r="B35" s="10" t="s">
        <v>244</v>
      </c>
      <c r="C35" s="10" t="s">
        <v>148</v>
      </c>
      <c r="D35" s="6" t="n">
        <v>150</v>
      </c>
      <c r="E35" s="20" t="s">
        <v>64</v>
      </c>
      <c r="F35" s="14" t="n">
        <f aca="false">D35*IFERROR(VLOOKUP(E35,Perfil!$B$19:$C$24,2,0),1)</f>
        <v>150</v>
      </c>
      <c r="G35" s="17" t="n">
        <f aca="false">F35/100*INDEX(Alimentos!$E$5:$E$40,MATCH($C35,Alimentos!$B$5:$B$40,0))</f>
        <v>162</v>
      </c>
      <c r="H35" s="17" t="n">
        <f aca="false">F35/100*INDEX(Alimentos!$F$5:$F$40,MATCH($C35,Alimentos!$B$5:$B$40,0))</f>
        <v>28.8</v>
      </c>
      <c r="I35" s="17" t="n">
        <f aca="false">F35/100*INDEX(Alimentos!$G$5:$G$40,MATCH($C35,Alimentos!$B$5:$B$40,0))</f>
        <v>4.35</v>
      </c>
      <c r="J35" s="17" t="n">
        <f aca="false">F35/100*INDEX(Alimentos!$H$5:$H$40,MATCH($C35,Alimentos!$B$5:$B$40,0))</f>
        <v>0</v>
      </c>
    </row>
    <row r="36" customFormat="false" ht="15" hidden="false" customHeight="false" outlineLevel="0" collapsed="false">
      <c r="A36" s="10" t="s">
        <v>245</v>
      </c>
      <c r="B36" s="10" t="s">
        <v>244</v>
      </c>
      <c r="C36" s="10" t="s">
        <v>217</v>
      </c>
      <c r="D36" s="6" t="n">
        <v>60</v>
      </c>
      <c r="E36" s="20" t="s">
        <v>64</v>
      </c>
      <c r="F36" s="14" t="n">
        <f aca="false">D36*IFERROR(VLOOKUP(E36,Perfil!$B$19:$C$24,2,0),1)</f>
        <v>60</v>
      </c>
      <c r="G36" s="17" t="n">
        <f aca="false">F36/100*INDEX(Alimentos!$E$5:$E$40,MATCH($C36,Alimentos!$B$5:$B$40,0))</f>
        <v>14.4</v>
      </c>
      <c r="H36" s="17" t="n">
        <f aca="false">F36/100*INDEX(Alimentos!$F$5:$F$40,MATCH($C36,Alimentos!$B$5:$B$40,0))</f>
        <v>1.14</v>
      </c>
      <c r="I36" s="17" t="n">
        <f aca="false">F36/100*INDEX(Alimentos!$G$5:$G$40,MATCH($C36,Alimentos!$B$5:$B$40,0))</f>
        <v>0.36</v>
      </c>
      <c r="J36" s="17" t="n">
        <f aca="false">F36/100*INDEX(Alimentos!$H$5:$H$40,MATCH($C36,Alimentos!$B$5:$B$40,0))</f>
        <v>3.78</v>
      </c>
    </row>
    <row r="37" customFormat="false" ht="15" hidden="false" customHeight="false" outlineLevel="0" collapsed="false">
      <c r="A37" s="10" t="s">
        <v>245</v>
      </c>
      <c r="B37" s="10" t="s">
        <v>244</v>
      </c>
      <c r="C37" s="10" t="s">
        <v>197</v>
      </c>
      <c r="D37" s="6" t="n">
        <v>70</v>
      </c>
      <c r="E37" s="20" t="s">
        <v>64</v>
      </c>
      <c r="F37" s="14" t="n">
        <f aca="false">D37*IFERROR(VLOOKUP(E37,Perfil!$B$19:$C$24,2,0),1)</f>
        <v>70</v>
      </c>
      <c r="G37" s="17" t="n">
        <f aca="false">F37/100*INDEX(Alimentos!$E$5:$E$40,MATCH($C37,Alimentos!$B$5:$B$40,0))</f>
        <v>10.5</v>
      </c>
      <c r="H37" s="17" t="n">
        <f aca="false">F37/100*INDEX(Alimentos!$F$5:$F$40,MATCH($C37,Alimentos!$B$5:$B$40,0))</f>
        <v>0.56</v>
      </c>
      <c r="I37" s="17" t="n">
        <f aca="false">F37/100*INDEX(Alimentos!$G$5:$G$40,MATCH($C37,Alimentos!$B$5:$B$40,0))</f>
        <v>0.14</v>
      </c>
      <c r="J37" s="17" t="n">
        <f aca="false">F37/100*INDEX(Alimentos!$H$5:$H$40,MATCH($C37,Alimentos!$B$5:$B$40,0))</f>
        <v>3.01</v>
      </c>
    </row>
    <row r="38" customFormat="false" ht="15" hidden="false" customHeight="false" outlineLevel="0" collapsed="false">
      <c r="A38" s="10" t="s">
        <v>245</v>
      </c>
      <c r="B38" s="10" t="s">
        <v>244</v>
      </c>
      <c r="C38" s="10" t="s">
        <v>220</v>
      </c>
      <c r="D38" s="6" t="n">
        <v>70</v>
      </c>
      <c r="E38" s="20" t="s">
        <v>64</v>
      </c>
      <c r="F38" s="14" t="n">
        <f aca="false">D38*IFERROR(VLOOKUP(E38,Perfil!$B$19:$C$24,2,0),1)</f>
        <v>70</v>
      </c>
      <c r="G38" s="17" t="n">
        <f aca="false">F38/100*INDEX(Alimentos!$E$5:$E$40,MATCH($C38,Alimentos!$B$5:$B$40,0))</f>
        <v>17.5</v>
      </c>
      <c r="H38" s="17" t="n">
        <f aca="false">F38/100*INDEX(Alimentos!$F$5:$F$40,MATCH($C38,Alimentos!$B$5:$B$40,0))</f>
        <v>1.68</v>
      </c>
      <c r="I38" s="17" t="n">
        <f aca="false">F38/100*INDEX(Alimentos!$G$5:$G$40,MATCH($C38,Alimentos!$B$5:$B$40,0))</f>
        <v>0.21</v>
      </c>
      <c r="J38" s="17" t="n">
        <f aca="false">F38/100*INDEX(Alimentos!$H$5:$H$40,MATCH($C38,Alimentos!$B$5:$B$40,0))</f>
        <v>5.67</v>
      </c>
    </row>
    <row r="39" customFormat="false" ht="15" hidden="false" customHeight="false" outlineLevel="0" collapsed="false">
      <c r="A39" s="10" t="s">
        <v>246</v>
      </c>
      <c r="B39" s="10" t="s">
        <v>241</v>
      </c>
      <c r="C39" s="10" t="s">
        <v>113</v>
      </c>
      <c r="D39" s="6" t="n">
        <v>3</v>
      </c>
      <c r="E39" s="20" t="s">
        <v>55</v>
      </c>
      <c r="F39" s="14" t="n">
        <f aca="false">D39*IFERROR(VLOOKUP(E39,Perfil!$B$19:$C$24,2,0),1)</f>
        <v>75</v>
      </c>
      <c r="G39" s="17" t="n">
        <f aca="false">F39/100*INDEX(Alimentos!$E$5:$E$40,MATCH($C39,Alimentos!$B$5:$B$40,0))</f>
        <v>237.75</v>
      </c>
      <c r="H39" s="17" t="n">
        <f aca="false">F39/100*INDEX(Alimentos!$F$5:$F$40,MATCH($C39,Alimentos!$B$5:$B$40,0))</f>
        <v>5.1</v>
      </c>
      <c r="I39" s="17" t="n">
        <f aca="false">F39/100*INDEX(Alimentos!$G$5:$G$40,MATCH($C39,Alimentos!$B$5:$B$40,0))</f>
        <v>1.875</v>
      </c>
      <c r="J39" s="17" t="n">
        <f aca="false">F39/100*INDEX(Alimentos!$H$5:$H$40,MATCH($C39,Alimentos!$B$5:$B$40,0))</f>
        <v>51.9</v>
      </c>
    </row>
    <row r="40" customFormat="false" ht="15" hidden="false" customHeight="false" outlineLevel="0" collapsed="false">
      <c r="A40" s="10" t="s">
        <v>246</v>
      </c>
      <c r="B40" s="10" t="s">
        <v>241</v>
      </c>
      <c r="C40" s="10" t="s">
        <v>121</v>
      </c>
      <c r="D40" s="6" t="n">
        <v>1</v>
      </c>
      <c r="E40" s="20" t="s">
        <v>56</v>
      </c>
      <c r="F40" s="14" t="n">
        <f aca="false">D40*IFERROR(VLOOKUP(E40,Perfil!$B$19:$C$24,2,0),1)</f>
        <v>25</v>
      </c>
      <c r="G40" s="17" t="n">
        <f aca="false">F40/100*INDEX(Alimentos!$E$5:$E$40,MATCH($C40,Alimentos!$B$5:$B$40,0))</f>
        <v>83.25</v>
      </c>
      <c r="H40" s="17" t="n">
        <f aca="false">F40/100*INDEX(Alimentos!$F$5:$F$40,MATCH($C40,Alimentos!$B$5:$B$40,0))</f>
        <v>3.325</v>
      </c>
      <c r="I40" s="17" t="n">
        <f aca="false">F40/100*INDEX(Alimentos!$G$5:$G$40,MATCH($C40,Alimentos!$B$5:$B$40,0))</f>
        <v>1</v>
      </c>
      <c r="J40" s="17" t="n">
        <f aca="false">F40/100*INDEX(Alimentos!$H$5:$H$40,MATCH($C40,Alimentos!$B$5:$B$40,0))</f>
        <v>18.05</v>
      </c>
    </row>
    <row r="41" customFormat="false" ht="15" hidden="false" customHeight="false" outlineLevel="0" collapsed="false">
      <c r="A41" s="10" t="s">
        <v>246</v>
      </c>
      <c r="B41" s="10" t="s">
        <v>241</v>
      </c>
      <c r="C41" s="10" t="s">
        <v>186</v>
      </c>
      <c r="D41" s="6" t="n">
        <v>75</v>
      </c>
      <c r="E41" s="20" t="s">
        <v>64</v>
      </c>
      <c r="F41" s="14" t="n">
        <f aca="false">D41*IFERROR(VLOOKUP(E41,Perfil!$B$19:$C$24,2,0),1)</f>
        <v>75</v>
      </c>
      <c r="G41" s="17" t="n">
        <f aca="false">F41/100*INDEX(Alimentos!$E$5:$E$40,MATCH($C41,Alimentos!$B$5:$B$40,0))</f>
        <v>198</v>
      </c>
      <c r="H41" s="17" t="n">
        <f aca="false">F41/100*INDEX(Alimentos!$F$5:$F$40,MATCH($C41,Alimentos!$B$5:$B$40,0))</f>
        <v>13.125</v>
      </c>
      <c r="I41" s="17" t="n">
        <f aca="false">F41/100*INDEX(Alimentos!$G$5:$G$40,MATCH($C41,Alimentos!$B$5:$B$40,0))</f>
        <v>15.075</v>
      </c>
      <c r="J41" s="17" t="n">
        <f aca="false">F41/100*INDEX(Alimentos!$H$5:$H$40,MATCH($C41,Alimentos!$B$5:$B$40,0))</f>
        <v>2.475</v>
      </c>
    </row>
    <row r="42" customFormat="false" ht="15" hidden="false" customHeight="false" outlineLevel="0" collapsed="false">
      <c r="A42" s="10" t="s">
        <v>246</v>
      </c>
      <c r="B42" s="10" t="s">
        <v>242</v>
      </c>
      <c r="C42" s="10" t="s">
        <v>133</v>
      </c>
      <c r="D42" s="6" t="n">
        <v>2</v>
      </c>
      <c r="E42" s="20" t="s">
        <v>60</v>
      </c>
      <c r="F42" s="14" t="n">
        <f aca="false">D42*IFERROR(VLOOKUP(E42,Perfil!$B$19:$C$24,2,0),1)</f>
        <v>300</v>
      </c>
      <c r="G42" s="17" t="n">
        <f aca="false">F42/100*INDEX(Alimentos!$E$5:$E$40,MATCH($C42,Alimentos!$B$5:$B$40,0))</f>
        <v>261</v>
      </c>
      <c r="H42" s="17" t="n">
        <f aca="false">F42/100*INDEX(Alimentos!$F$5:$F$40,MATCH($C42,Alimentos!$B$5:$B$40,0))</f>
        <v>6.3</v>
      </c>
      <c r="I42" s="17" t="n">
        <f aca="false">F42/100*INDEX(Alimentos!$G$5:$G$40,MATCH($C42,Alimentos!$B$5:$B$40,0))</f>
        <v>0.3</v>
      </c>
      <c r="J42" s="17" t="n">
        <f aca="false">F42/100*INDEX(Alimentos!$H$5:$H$40,MATCH($C42,Alimentos!$B$5:$B$40,0))</f>
        <v>66.9</v>
      </c>
    </row>
    <row r="43" customFormat="false" ht="15" hidden="false" customHeight="false" outlineLevel="0" collapsed="false">
      <c r="A43" s="10" t="s">
        <v>246</v>
      </c>
      <c r="B43" s="10" t="s">
        <v>242</v>
      </c>
      <c r="C43" s="10" t="s">
        <v>148</v>
      </c>
      <c r="D43" s="6" t="n">
        <v>150</v>
      </c>
      <c r="E43" s="20" t="s">
        <v>64</v>
      </c>
      <c r="F43" s="14" t="n">
        <f aca="false">D43*IFERROR(VLOOKUP(E43,Perfil!$B$19:$C$24,2,0),1)</f>
        <v>150</v>
      </c>
      <c r="G43" s="17" t="n">
        <f aca="false">F43/100*INDEX(Alimentos!$E$5:$E$40,MATCH($C43,Alimentos!$B$5:$B$40,0))</f>
        <v>162</v>
      </c>
      <c r="H43" s="17" t="n">
        <f aca="false">F43/100*INDEX(Alimentos!$F$5:$F$40,MATCH($C43,Alimentos!$B$5:$B$40,0))</f>
        <v>28.8</v>
      </c>
      <c r="I43" s="17" t="n">
        <f aca="false">F43/100*INDEX(Alimentos!$G$5:$G$40,MATCH($C43,Alimentos!$B$5:$B$40,0))</f>
        <v>4.35</v>
      </c>
      <c r="J43" s="17" t="n">
        <f aca="false">F43/100*INDEX(Alimentos!$H$5:$H$40,MATCH($C43,Alimentos!$B$5:$B$40,0))</f>
        <v>0</v>
      </c>
    </row>
    <row r="44" customFormat="false" ht="15" hidden="false" customHeight="false" outlineLevel="0" collapsed="false">
      <c r="A44" s="10" t="s">
        <v>246</v>
      </c>
      <c r="B44" s="10" t="s">
        <v>242</v>
      </c>
      <c r="C44" s="10" t="s">
        <v>193</v>
      </c>
      <c r="D44" s="6" t="n">
        <v>80</v>
      </c>
      <c r="E44" s="20" t="s">
        <v>64</v>
      </c>
      <c r="F44" s="14" t="n">
        <f aca="false">D44*IFERROR(VLOOKUP(E44,Perfil!$B$19:$C$24,2,0),1)</f>
        <v>80</v>
      </c>
      <c r="G44" s="17" t="n">
        <f aca="false">F44/100*INDEX(Alimentos!$E$5:$E$40,MATCH($C44,Alimentos!$B$5:$B$40,0))</f>
        <v>5.6</v>
      </c>
      <c r="H44" s="17" t="n">
        <f aca="false">F44/100*INDEX(Alimentos!$F$5:$F$40,MATCH($C44,Alimentos!$B$5:$B$40,0))</f>
        <v>0.48</v>
      </c>
      <c r="I44" s="17" t="n">
        <f aca="false">F44/100*INDEX(Alimentos!$G$5:$G$40,MATCH($C44,Alimentos!$B$5:$B$40,0))</f>
        <v>0.08</v>
      </c>
      <c r="J44" s="17" t="n">
        <f aca="false">F44/100*INDEX(Alimentos!$H$5:$H$40,MATCH($C44,Alimentos!$B$5:$B$40,0))</f>
        <v>1.92</v>
      </c>
    </row>
    <row r="45" customFormat="false" ht="15" hidden="false" customHeight="false" outlineLevel="0" collapsed="false">
      <c r="A45" s="10" t="s">
        <v>246</v>
      </c>
      <c r="B45" s="10" t="s">
        <v>242</v>
      </c>
      <c r="C45" s="10" t="s">
        <v>197</v>
      </c>
      <c r="D45" s="6" t="n">
        <v>80</v>
      </c>
      <c r="E45" s="20" t="s">
        <v>64</v>
      </c>
      <c r="F45" s="14" t="n">
        <f aca="false">D45*IFERROR(VLOOKUP(E45,Perfil!$B$19:$C$24,2,0),1)</f>
        <v>80</v>
      </c>
      <c r="G45" s="17" t="n">
        <f aca="false">F45/100*INDEX(Alimentos!$E$5:$E$40,MATCH($C45,Alimentos!$B$5:$B$40,0))</f>
        <v>12</v>
      </c>
      <c r="H45" s="17" t="n">
        <f aca="false">F45/100*INDEX(Alimentos!$F$5:$F$40,MATCH($C45,Alimentos!$B$5:$B$40,0))</f>
        <v>0.64</v>
      </c>
      <c r="I45" s="17" t="n">
        <f aca="false">F45/100*INDEX(Alimentos!$G$5:$G$40,MATCH($C45,Alimentos!$B$5:$B$40,0))</f>
        <v>0.16</v>
      </c>
      <c r="J45" s="17" t="n">
        <f aca="false">F45/100*INDEX(Alimentos!$H$5:$H$40,MATCH($C45,Alimentos!$B$5:$B$40,0))</f>
        <v>3.44</v>
      </c>
    </row>
    <row r="46" customFormat="false" ht="15" hidden="false" customHeight="false" outlineLevel="0" collapsed="false">
      <c r="A46" s="10" t="s">
        <v>246</v>
      </c>
      <c r="B46" s="10" t="s">
        <v>242</v>
      </c>
      <c r="C46" s="10" t="s">
        <v>200</v>
      </c>
      <c r="D46" s="6" t="n">
        <v>40</v>
      </c>
      <c r="E46" s="20" t="s">
        <v>64</v>
      </c>
      <c r="F46" s="14" t="n">
        <f aca="false">D46*IFERROR(VLOOKUP(E46,Perfil!$B$19:$C$24,2,0),1)</f>
        <v>40</v>
      </c>
      <c r="G46" s="17" t="n">
        <f aca="false">F46/100*INDEX(Alimentos!$E$5:$E$40,MATCH($C46,Alimentos!$B$5:$B$40,0))</f>
        <v>7.6</v>
      </c>
      <c r="H46" s="17" t="n">
        <f aca="false">F46/100*INDEX(Alimentos!$F$5:$F$40,MATCH($C46,Alimentos!$B$5:$B$40,0))</f>
        <v>0.4</v>
      </c>
      <c r="I46" s="17" t="n">
        <f aca="false">F46/100*INDEX(Alimentos!$G$5:$G$40,MATCH($C46,Alimentos!$B$5:$B$40,0))</f>
        <v>0.12</v>
      </c>
      <c r="J46" s="17" t="n">
        <f aca="false">F46/100*INDEX(Alimentos!$H$5:$H$40,MATCH($C46,Alimentos!$B$5:$B$40,0))</f>
        <v>3.04</v>
      </c>
    </row>
    <row r="47" customFormat="false" ht="15" hidden="false" customHeight="false" outlineLevel="0" collapsed="false">
      <c r="A47" s="10" t="s">
        <v>246</v>
      </c>
      <c r="B47" s="10" t="s">
        <v>242</v>
      </c>
      <c r="C47" s="10" t="s">
        <v>230</v>
      </c>
      <c r="D47" s="6" t="n">
        <v>1</v>
      </c>
      <c r="E47" s="20" t="s">
        <v>62</v>
      </c>
      <c r="F47" s="14" t="n">
        <f aca="false">D47*IFERROR(VLOOKUP(E47,Perfil!$B$19:$C$24,2,0),1)</f>
        <v>5</v>
      </c>
      <c r="G47" s="17" t="n">
        <f aca="false">F47/100*INDEX(Alimentos!$E$5:$E$40,MATCH($C47,Alimentos!$B$5:$B$40,0))</f>
        <v>44.2</v>
      </c>
      <c r="H47" s="17" t="n">
        <f aca="false">F47/100*INDEX(Alimentos!$F$5:$F$40,MATCH($C47,Alimentos!$B$5:$B$40,0))</f>
        <v>0</v>
      </c>
      <c r="I47" s="17" t="n">
        <f aca="false">F47/100*INDEX(Alimentos!$G$5:$G$40,MATCH($C47,Alimentos!$B$5:$B$40,0))</f>
        <v>5</v>
      </c>
      <c r="J47" s="17" t="n">
        <f aca="false">F47/100*INDEX(Alimentos!$H$5:$H$40,MATCH($C47,Alimentos!$B$5:$B$40,0))</f>
        <v>0</v>
      </c>
    </row>
    <row r="48" customFormat="false" ht="15" hidden="false" customHeight="false" outlineLevel="0" collapsed="false">
      <c r="A48" s="10" t="s">
        <v>246</v>
      </c>
      <c r="B48" s="10" t="s">
        <v>243</v>
      </c>
      <c r="C48" s="10" t="s">
        <v>113</v>
      </c>
      <c r="D48" s="6" t="n">
        <v>2</v>
      </c>
      <c r="E48" s="20" t="s">
        <v>55</v>
      </c>
      <c r="F48" s="14" t="n">
        <f aca="false">D48*IFERROR(VLOOKUP(E48,Perfil!$B$19:$C$24,2,0),1)</f>
        <v>50</v>
      </c>
      <c r="G48" s="17" t="n">
        <f aca="false">F48/100*INDEX(Alimentos!$E$5:$E$40,MATCH($C48,Alimentos!$B$5:$B$40,0))</f>
        <v>158.5</v>
      </c>
      <c r="H48" s="17" t="n">
        <f aca="false">F48/100*INDEX(Alimentos!$F$5:$F$40,MATCH($C48,Alimentos!$B$5:$B$40,0))</f>
        <v>3.4</v>
      </c>
      <c r="I48" s="17" t="n">
        <f aca="false">F48/100*INDEX(Alimentos!$G$5:$G$40,MATCH($C48,Alimentos!$B$5:$B$40,0))</f>
        <v>1.25</v>
      </c>
      <c r="J48" s="17" t="n">
        <f aca="false">F48/100*INDEX(Alimentos!$H$5:$H$40,MATCH($C48,Alimentos!$B$5:$B$40,0))</f>
        <v>34.6</v>
      </c>
    </row>
    <row r="49" customFormat="false" ht="15" hidden="false" customHeight="false" outlineLevel="0" collapsed="false">
      <c r="A49" s="10" t="s">
        <v>246</v>
      </c>
      <c r="B49" s="10" t="s">
        <v>243</v>
      </c>
      <c r="C49" s="10" t="s">
        <v>121</v>
      </c>
      <c r="D49" s="6" t="n">
        <v>2</v>
      </c>
      <c r="E49" s="20" t="s">
        <v>56</v>
      </c>
      <c r="F49" s="14" t="n">
        <f aca="false">D49*IFERROR(VLOOKUP(E49,Perfil!$B$19:$C$24,2,0),1)</f>
        <v>50</v>
      </c>
      <c r="G49" s="17" t="n">
        <f aca="false">F49/100*INDEX(Alimentos!$E$5:$E$40,MATCH($C49,Alimentos!$B$5:$B$40,0))</f>
        <v>166.5</v>
      </c>
      <c r="H49" s="17" t="n">
        <f aca="false">F49/100*INDEX(Alimentos!$F$5:$F$40,MATCH($C49,Alimentos!$B$5:$B$40,0))</f>
        <v>6.65</v>
      </c>
      <c r="I49" s="17" t="n">
        <f aca="false">F49/100*INDEX(Alimentos!$G$5:$G$40,MATCH($C49,Alimentos!$B$5:$B$40,0))</f>
        <v>2</v>
      </c>
      <c r="J49" s="17" t="n">
        <f aca="false">F49/100*INDEX(Alimentos!$H$5:$H$40,MATCH($C49,Alimentos!$B$5:$B$40,0))</f>
        <v>36.1</v>
      </c>
    </row>
    <row r="50" customFormat="false" ht="15" hidden="false" customHeight="false" outlineLevel="0" collapsed="false">
      <c r="A50" s="10" t="s">
        <v>246</v>
      </c>
      <c r="B50" s="10" t="s">
        <v>243</v>
      </c>
      <c r="C50" s="10" t="s">
        <v>186</v>
      </c>
      <c r="D50" s="6" t="n">
        <v>75</v>
      </c>
      <c r="E50" s="20" t="s">
        <v>64</v>
      </c>
      <c r="F50" s="14" t="n">
        <f aca="false">D50*IFERROR(VLOOKUP(E50,Perfil!$B$19:$C$24,2,0),1)</f>
        <v>75</v>
      </c>
      <c r="G50" s="17" t="n">
        <f aca="false">F50/100*INDEX(Alimentos!$E$5:$E$40,MATCH($C50,Alimentos!$B$5:$B$40,0))</f>
        <v>198</v>
      </c>
      <c r="H50" s="17" t="n">
        <f aca="false">F50/100*INDEX(Alimentos!$F$5:$F$40,MATCH($C50,Alimentos!$B$5:$B$40,0))</f>
        <v>13.125</v>
      </c>
      <c r="I50" s="17" t="n">
        <f aca="false">F50/100*INDEX(Alimentos!$G$5:$G$40,MATCH($C50,Alimentos!$B$5:$B$40,0))</f>
        <v>15.075</v>
      </c>
      <c r="J50" s="17" t="n">
        <f aca="false">F50/100*INDEX(Alimentos!$H$5:$H$40,MATCH($C50,Alimentos!$B$5:$B$40,0))</f>
        <v>2.475</v>
      </c>
    </row>
    <row r="51" customFormat="false" ht="15" hidden="false" customHeight="false" outlineLevel="0" collapsed="false">
      <c r="A51" s="10" t="s">
        <v>246</v>
      </c>
      <c r="B51" s="10" t="s">
        <v>244</v>
      </c>
      <c r="C51" s="10" t="s">
        <v>142</v>
      </c>
      <c r="D51" s="6" t="n">
        <v>250</v>
      </c>
      <c r="E51" s="20" t="s">
        <v>64</v>
      </c>
      <c r="F51" s="14" t="n">
        <f aca="false">D51*IFERROR(VLOOKUP(E51,Perfil!$B$19:$C$24,2,0),1)</f>
        <v>250</v>
      </c>
      <c r="G51" s="17" t="n">
        <f aca="false">F51/100*INDEX(Alimentos!$E$5:$E$40,MATCH($C51,Alimentos!$B$5:$B$40,0))</f>
        <v>225</v>
      </c>
      <c r="H51" s="17" t="n">
        <f aca="false">F51/100*INDEX(Alimentos!$F$5:$F$40,MATCH($C51,Alimentos!$B$5:$B$40,0))</f>
        <v>7.75</v>
      </c>
      <c r="I51" s="17" t="n">
        <f aca="false">F51/100*INDEX(Alimentos!$G$5:$G$40,MATCH($C51,Alimentos!$B$5:$B$40,0))</f>
        <v>0</v>
      </c>
      <c r="J51" s="17" t="n">
        <f aca="false">F51/100*INDEX(Alimentos!$H$5:$H$40,MATCH($C51,Alimentos!$B$5:$B$40,0))</f>
        <v>53.25</v>
      </c>
    </row>
    <row r="52" customFormat="false" ht="15" hidden="false" customHeight="false" outlineLevel="0" collapsed="false">
      <c r="A52" s="10" t="s">
        <v>246</v>
      </c>
      <c r="B52" s="10" t="s">
        <v>244</v>
      </c>
      <c r="C52" s="10" t="s">
        <v>170</v>
      </c>
      <c r="D52" s="6" t="n">
        <v>120</v>
      </c>
      <c r="E52" s="20" t="s">
        <v>64</v>
      </c>
      <c r="F52" s="14" t="n">
        <f aca="false">D52*IFERROR(VLOOKUP(E52,Perfil!$B$19:$C$24,2,0),1)</f>
        <v>120</v>
      </c>
      <c r="G52" s="17" t="n">
        <f aca="false">F52/100*INDEX(Alimentos!$E$5:$E$40,MATCH($C52,Alimentos!$B$5:$B$40,0))</f>
        <v>139.2</v>
      </c>
      <c r="H52" s="17" t="n">
        <f aca="false">F52/100*INDEX(Alimentos!$F$5:$F$40,MATCH($C52,Alimentos!$B$5:$B$40,0))</f>
        <v>30.6</v>
      </c>
      <c r="I52" s="17" t="n">
        <f aca="false">F52/100*INDEX(Alimentos!$G$5:$G$40,MATCH($C52,Alimentos!$B$5:$B$40,0))</f>
        <v>0.96</v>
      </c>
      <c r="J52" s="17" t="n">
        <f aca="false">F52/100*INDEX(Alimentos!$H$5:$H$40,MATCH($C52,Alimentos!$B$5:$B$40,0))</f>
        <v>0</v>
      </c>
    </row>
    <row r="53" customFormat="false" ht="15" hidden="false" customHeight="false" outlineLevel="0" collapsed="false">
      <c r="A53" s="10" t="s">
        <v>246</v>
      </c>
      <c r="B53" s="10" t="s">
        <v>244</v>
      </c>
      <c r="C53" s="10" t="s">
        <v>224</v>
      </c>
      <c r="D53" s="6" t="n">
        <v>100</v>
      </c>
      <c r="E53" s="20" t="s">
        <v>64</v>
      </c>
      <c r="F53" s="14" t="n">
        <f aca="false">D53*IFERROR(VLOOKUP(E53,Perfil!$B$19:$C$24,2,0),1)</f>
        <v>100</v>
      </c>
      <c r="G53" s="17" t="n">
        <f aca="false">F53/100*INDEX(Alimentos!$E$5:$E$40,MATCH($C53,Alimentos!$B$5:$B$40,0))</f>
        <v>17</v>
      </c>
      <c r="H53" s="17" t="n">
        <f aca="false">F53/100*INDEX(Alimentos!$F$5:$F$40,MATCH($C53,Alimentos!$B$5:$B$40,0))</f>
        <v>2.2</v>
      </c>
      <c r="I53" s="17" t="n">
        <f aca="false">F53/100*INDEX(Alimentos!$G$5:$G$40,MATCH($C53,Alimentos!$B$5:$B$40,0))</f>
        <v>0.6</v>
      </c>
      <c r="J53" s="17" t="n">
        <f aca="false">F53/100*INDEX(Alimentos!$H$5:$H$40,MATCH($C53,Alimentos!$B$5:$B$40,0))</f>
        <v>4.4</v>
      </c>
    </row>
    <row r="54" customFormat="false" ht="15" hidden="false" customHeight="false" outlineLevel="0" collapsed="false">
      <c r="A54" s="10" t="s">
        <v>246</v>
      </c>
      <c r="B54" s="10" t="s">
        <v>244</v>
      </c>
      <c r="C54" s="10" t="s">
        <v>193</v>
      </c>
      <c r="D54" s="6" t="n">
        <v>60</v>
      </c>
      <c r="E54" s="20" t="s">
        <v>64</v>
      </c>
      <c r="F54" s="14" t="n">
        <f aca="false">D54*IFERROR(VLOOKUP(E54,Perfil!$B$19:$C$24,2,0),1)</f>
        <v>60</v>
      </c>
      <c r="G54" s="17" t="n">
        <f aca="false">F54/100*INDEX(Alimentos!$E$5:$E$40,MATCH($C54,Alimentos!$B$5:$B$40,0))</f>
        <v>4.2</v>
      </c>
      <c r="H54" s="17" t="n">
        <f aca="false">F54/100*INDEX(Alimentos!$F$5:$F$40,MATCH($C54,Alimentos!$B$5:$B$40,0))</f>
        <v>0.36</v>
      </c>
      <c r="I54" s="17" t="n">
        <f aca="false">F54/100*INDEX(Alimentos!$G$5:$G$40,MATCH($C54,Alimentos!$B$5:$B$40,0))</f>
        <v>0.06</v>
      </c>
      <c r="J54" s="17" t="n">
        <f aca="false">F54/100*INDEX(Alimentos!$H$5:$H$40,MATCH($C54,Alimentos!$B$5:$B$40,0))</f>
        <v>1.44</v>
      </c>
    </row>
    <row r="55" customFormat="false" ht="15" hidden="false" customHeight="false" outlineLevel="0" collapsed="false">
      <c r="A55" s="10" t="s">
        <v>246</v>
      </c>
      <c r="B55" s="10" t="s">
        <v>244</v>
      </c>
      <c r="C55" s="10" t="s">
        <v>200</v>
      </c>
      <c r="D55" s="6" t="n">
        <v>40</v>
      </c>
      <c r="E55" s="20" t="s">
        <v>64</v>
      </c>
      <c r="F55" s="14" t="n">
        <f aca="false">D55*IFERROR(VLOOKUP(E55,Perfil!$B$19:$C$24,2,0),1)</f>
        <v>40</v>
      </c>
      <c r="G55" s="17" t="n">
        <f aca="false">F55/100*INDEX(Alimentos!$E$5:$E$40,MATCH($C55,Alimentos!$B$5:$B$40,0))</f>
        <v>7.6</v>
      </c>
      <c r="H55" s="17" t="n">
        <f aca="false">F55/100*INDEX(Alimentos!$F$5:$F$40,MATCH($C55,Alimentos!$B$5:$B$40,0))</f>
        <v>0.4</v>
      </c>
      <c r="I55" s="17" t="n">
        <f aca="false">F55/100*INDEX(Alimentos!$G$5:$G$40,MATCH($C55,Alimentos!$B$5:$B$40,0))</f>
        <v>0.12</v>
      </c>
      <c r="J55" s="17" t="n">
        <f aca="false">F55/100*INDEX(Alimentos!$H$5:$H$40,MATCH($C55,Alimentos!$B$5:$B$40,0))</f>
        <v>3.04</v>
      </c>
    </row>
    <row r="56" customFormat="false" ht="15" hidden="false" customHeight="false" outlineLevel="0" collapsed="false">
      <c r="A56" s="10" t="s">
        <v>247</v>
      </c>
      <c r="B56" s="10" t="s">
        <v>241</v>
      </c>
      <c r="C56" s="10" t="s">
        <v>113</v>
      </c>
      <c r="D56" s="6" t="n">
        <v>3</v>
      </c>
      <c r="E56" s="20" t="s">
        <v>55</v>
      </c>
      <c r="F56" s="14" t="n">
        <f aca="false">D56*IFERROR(VLOOKUP(E56,Perfil!$B$19:$C$24,2,0),1)</f>
        <v>75</v>
      </c>
      <c r="G56" s="17" t="n">
        <f aca="false">F56/100*INDEX(Alimentos!$E$5:$E$40,MATCH($C56,Alimentos!$B$5:$B$40,0))</f>
        <v>237.75</v>
      </c>
      <c r="H56" s="17" t="n">
        <f aca="false">F56/100*INDEX(Alimentos!$F$5:$F$40,MATCH($C56,Alimentos!$B$5:$B$40,0))</f>
        <v>5.1</v>
      </c>
      <c r="I56" s="17" t="n">
        <f aca="false">F56/100*INDEX(Alimentos!$G$5:$G$40,MATCH($C56,Alimentos!$B$5:$B$40,0))</f>
        <v>1.875</v>
      </c>
      <c r="J56" s="17" t="n">
        <f aca="false">F56/100*INDEX(Alimentos!$H$5:$H$40,MATCH($C56,Alimentos!$B$5:$B$40,0))</f>
        <v>51.9</v>
      </c>
    </row>
    <row r="57" customFormat="false" ht="15" hidden="false" customHeight="false" outlineLevel="0" collapsed="false">
      <c r="A57" s="10" t="s">
        <v>247</v>
      </c>
      <c r="B57" s="10" t="s">
        <v>241</v>
      </c>
      <c r="C57" s="10" t="s">
        <v>121</v>
      </c>
      <c r="D57" s="6" t="n">
        <v>1</v>
      </c>
      <c r="E57" s="20" t="s">
        <v>56</v>
      </c>
      <c r="F57" s="14" t="n">
        <f aca="false">D57*IFERROR(VLOOKUP(E57,Perfil!$B$19:$C$24,2,0),1)</f>
        <v>25</v>
      </c>
      <c r="G57" s="17" t="n">
        <f aca="false">F57/100*INDEX(Alimentos!$E$5:$E$40,MATCH($C57,Alimentos!$B$5:$B$40,0))</f>
        <v>83.25</v>
      </c>
      <c r="H57" s="17" t="n">
        <f aca="false">F57/100*INDEX(Alimentos!$F$5:$F$40,MATCH($C57,Alimentos!$B$5:$B$40,0))</f>
        <v>3.325</v>
      </c>
      <c r="I57" s="17" t="n">
        <f aca="false">F57/100*INDEX(Alimentos!$G$5:$G$40,MATCH($C57,Alimentos!$B$5:$B$40,0))</f>
        <v>1</v>
      </c>
      <c r="J57" s="17" t="n">
        <f aca="false">F57/100*INDEX(Alimentos!$H$5:$H$40,MATCH($C57,Alimentos!$B$5:$B$40,0))</f>
        <v>18.05</v>
      </c>
    </row>
    <row r="58" customFormat="false" ht="15" hidden="false" customHeight="false" outlineLevel="0" collapsed="false">
      <c r="A58" s="10" t="s">
        <v>247</v>
      </c>
      <c r="B58" s="10" t="s">
        <v>241</v>
      </c>
      <c r="C58" s="10" t="s">
        <v>190</v>
      </c>
      <c r="D58" s="6" t="n">
        <v>45</v>
      </c>
      <c r="E58" s="20" t="s">
        <v>64</v>
      </c>
      <c r="F58" s="14" t="n">
        <f aca="false">D58*IFERROR(VLOOKUP(E58,Perfil!$B$19:$C$24,2,0),1)</f>
        <v>45</v>
      </c>
      <c r="G58" s="17" t="n">
        <f aca="false">F58/100*INDEX(Alimentos!$E$5:$E$40,MATCH($C58,Alimentos!$B$5:$B$40,0))</f>
        <v>58.5</v>
      </c>
      <c r="H58" s="17" t="n">
        <f aca="false">F58/100*INDEX(Alimentos!$F$5:$F$40,MATCH($C58,Alimentos!$B$5:$B$40,0))</f>
        <v>0.765</v>
      </c>
      <c r="I58" s="17" t="n">
        <f aca="false">F58/100*INDEX(Alimentos!$G$5:$G$40,MATCH($C58,Alimentos!$B$5:$B$40,0))</f>
        <v>5.625</v>
      </c>
      <c r="J58" s="17" t="n">
        <f aca="false">F58/100*INDEX(Alimentos!$H$5:$H$40,MATCH($C58,Alimentos!$B$5:$B$40,0))</f>
        <v>2.52</v>
      </c>
    </row>
    <row r="59" customFormat="false" ht="15" hidden="false" customHeight="false" outlineLevel="0" collapsed="false">
      <c r="A59" s="10" t="s">
        <v>247</v>
      </c>
      <c r="B59" s="10" t="s">
        <v>242</v>
      </c>
      <c r="C59" s="10" t="s">
        <v>128</v>
      </c>
      <c r="D59" s="6" t="n">
        <v>3</v>
      </c>
      <c r="E59" s="20" t="s">
        <v>58</v>
      </c>
      <c r="F59" s="14" t="n">
        <f aca="false">D59*IFERROR(VLOOKUP(E59,Perfil!$B$19:$C$24,2,0),1)</f>
        <v>210</v>
      </c>
      <c r="G59" s="17" t="n">
        <f aca="false">F59/100*INDEX(Alimentos!$E$5:$E$40,MATCH($C59,Alimentos!$B$5:$B$40,0))</f>
        <v>241.5</v>
      </c>
      <c r="H59" s="17" t="n">
        <f aca="false">F59/100*INDEX(Alimentos!$F$5:$F$40,MATCH($C59,Alimentos!$B$5:$B$40,0))</f>
        <v>5.04</v>
      </c>
      <c r="I59" s="17" t="n">
        <f aca="false">F59/100*INDEX(Alimentos!$G$5:$G$40,MATCH($C59,Alimentos!$B$5:$B$40,0))</f>
        <v>0.21</v>
      </c>
      <c r="J59" s="17" t="n">
        <f aca="false">F59/100*INDEX(Alimentos!$H$5:$H$40,MATCH($C59,Alimentos!$B$5:$B$40,0))</f>
        <v>52.92</v>
      </c>
    </row>
    <row r="60" customFormat="false" ht="15" hidden="false" customHeight="false" outlineLevel="0" collapsed="false">
      <c r="A60" s="10" t="s">
        <v>247</v>
      </c>
      <c r="B60" s="10" t="s">
        <v>242</v>
      </c>
      <c r="C60" s="10" t="s">
        <v>161</v>
      </c>
      <c r="D60" s="6" t="n">
        <v>150</v>
      </c>
      <c r="E60" s="20" t="s">
        <v>64</v>
      </c>
      <c r="F60" s="14" t="n">
        <f aca="false">D60*IFERROR(VLOOKUP(E60,Perfil!$B$19:$C$24,2,0),1)</f>
        <v>150</v>
      </c>
      <c r="G60" s="17" t="n">
        <f aca="false">F60/100*INDEX(Alimentos!$E$5:$E$40,MATCH($C60,Alimentos!$B$5:$B$40,0))</f>
        <v>166.5</v>
      </c>
      <c r="H60" s="17" t="n">
        <f aca="false">F60/100*INDEX(Alimentos!$F$5:$F$40,MATCH($C60,Alimentos!$B$5:$B$40,0))</f>
        <v>29.25</v>
      </c>
      <c r="I60" s="17" t="n">
        <f aca="false">F60/100*INDEX(Alimentos!$G$5:$G$40,MATCH($C60,Alimentos!$B$5:$B$40,0))</f>
        <v>4.65</v>
      </c>
      <c r="J60" s="17" t="n">
        <f aca="false">F60/100*INDEX(Alimentos!$H$5:$H$40,MATCH($C60,Alimentos!$B$5:$B$40,0))</f>
        <v>0</v>
      </c>
    </row>
    <row r="61" customFormat="false" ht="15" hidden="false" customHeight="false" outlineLevel="0" collapsed="false">
      <c r="A61" s="10" t="s">
        <v>247</v>
      </c>
      <c r="B61" s="10" t="s">
        <v>242</v>
      </c>
      <c r="C61" s="10" t="s">
        <v>203</v>
      </c>
      <c r="D61" s="6" t="n">
        <v>100</v>
      </c>
      <c r="E61" s="20" t="s">
        <v>64</v>
      </c>
      <c r="F61" s="14" t="n">
        <f aca="false">D61*IFERROR(VLOOKUP(E61,Perfil!$B$19:$C$24,2,0),1)</f>
        <v>100</v>
      </c>
      <c r="G61" s="17" t="n">
        <f aca="false">F61/100*INDEX(Alimentos!$E$5:$E$40,MATCH($C61,Alimentos!$B$5:$B$40,0))</f>
        <v>32</v>
      </c>
      <c r="H61" s="17" t="n">
        <f aca="false">F61/100*INDEX(Alimentos!$F$5:$F$40,MATCH($C61,Alimentos!$B$5:$B$40,0))</f>
        <v>3.9</v>
      </c>
      <c r="I61" s="17" t="n">
        <f aca="false">F61/100*INDEX(Alimentos!$G$5:$G$40,MATCH($C61,Alimentos!$B$5:$B$40,0))</f>
        <v>1.3</v>
      </c>
      <c r="J61" s="17" t="n">
        <f aca="false">F61/100*INDEX(Alimentos!$H$5:$H$40,MATCH($C61,Alimentos!$B$5:$B$40,0))</f>
        <v>4</v>
      </c>
    </row>
    <row r="62" customFormat="false" ht="15" hidden="false" customHeight="false" outlineLevel="0" collapsed="false">
      <c r="A62" s="10" t="s">
        <v>247</v>
      </c>
      <c r="B62" s="10" t="s">
        <v>242</v>
      </c>
      <c r="C62" s="10" t="s">
        <v>200</v>
      </c>
      <c r="D62" s="6" t="n">
        <v>50</v>
      </c>
      <c r="E62" s="20" t="s">
        <v>64</v>
      </c>
      <c r="F62" s="14" t="n">
        <f aca="false">D62*IFERROR(VLOOKUP(E62,Perfil!$B$19:$C$24,2,0),1)</f>
        <v>50</v>
      </c>
      <c r="G62" s="17" t="n">
        <f aca="false">F62/100*INDEX(Alimentos!$E$5:$E$40,MATCH($C62,Alimentos!$B$5:$B$40,0))</f>
        <v>9.5</v>
      </c>
      <c r="H62" s="17" t="n">
        <f aca="false">F62/100*INDEX(Alimentos!$F$5:$F$40,MATCH($C62,Alimentos!$B$5:$B$40,0))</f>
        <v>0.5</v>
      </c>
      <c r="I62" s="17" t="n">
        <f aca="false">F62/100*INDEX(Alimentos!$G$5:$G$40,MATCH($C62,Alimentos!$B$5:$B$40,0))</f>
        <v>0.15</v>
      </c>
      <c r="J62" s="17" t="n">
        <f aca="false">F62/100*INDEX(Alimentos!$H$5:$H$40,MATCH($C62,Alimentos!$B$5:$B$40,0))</f>
        <v>3.8</v>
      </c>
    </row>
    <row r="63" customFormat="false" ht="15" hidden="false" customHeight="false" outlineLevel="0" collapsed="false">
      <c r="A63" s="10" t="s">
        <v>247</v>
      </c>
      <c r="B63" s="10" t="s">
        <v>242</v>
      </c>
      <c r="C63" s="10" t="s">
        <v>207</v>
      </c>
      <c r="D63" s="6" t="n">
        <v>50</v>
      </c>
      <c r="E63" s="20" t="s">
        <v>64</v>
      </c>
      <c r="F63" s="14" t="n">
        <f aca="false">D63*IFERROR(VLOOKUP(E63,Perfil!$B$19:$C$24,2,0),1)</f>
        <v>50</v>
      </c>
      <c r="G63" s="17" t="n">
        <f aca="false">F63/100*INDEX(Alimentos!$E$5:$E$40,MATCH($C63,Alimentos!$B$5:$B$40,0))</f>
        <v>13.5</v>
      </c>
      <c r="H63" s="17" t="n">
        <f aca="false">F63/100*INDEX(Alimentos!$F$5:$F$40,MATCH($C63,Alimentos!$B$5:$B$40,0))</f>
        <v>0.6</v>
      </c>
      <c r="I63" s="17" t="n">
        <f aca="false">F63/100*INDEX(Alimentos!$G$5:$G$40,MATCH($C63,Alimentos!$B$5:$B$40,0))</f>
        <v>0.65</v>
      </c>
      <c r="J63" s="17" t="n">
        <f aca="false">F63/100*INDEX(Alimentos!$H$5:$H$40,MATCH($C63,Alimentos!$B$5:$B$40,0))</f>
        <v>2.3</v>
      </c>
    </row>
    <row r="64" customFormat="false" ht="15" hidden="false" customHeight="false" outlineLevel="0" collapsed="false">
      <c r="A64" s="10" t="s">
        <v>247</v>
      </c>
      <c r="B64" s="10" t="s">
        <v>242</v>
      </c>
      <c r="C64" s="10" t="s">
        <v>230</v>
      </c>
      <c r="D64" s="6" t="n">
        <v>1</v>
      </c>
      <c r="E64" s="20" t="s">
        <v>62</v>
      </c>
      <c r="F64" s="14" t="n">
        <f aca="false">D64*IFERROR(VLOOKUP(E64,Perfil!$B$19:$C$24,2,0),1)</f>
        <v>5</v>
      </c>
      <c r="G64" s="17" t="n">
        <f aca="false">F64/100*INDEX(Alimentos!$E$5:$E$40,MATCH($C64,Alimentos!$B$5:$B$40,0))</f>
        <v>44.2</v>
      </c>
      <c r="H64" s="17" t="n">
        <f aca="false">F64/100*INDEX(Alimentos!$F$5:$F$40,MATCH($C64,Alimentos!$B$5:$B$40,0))</f>
        <v>0</v>
      </c>
      <c r="I64" s="17" t="n">
        <f aca="false">F64/100*INDEX(Alimentos!$G$5:$G$40,MATCH($C64,Alimentos!$B$5:$B$40,0))</f>
        <v>5</v>
      </c>
      <c r="J64" s="17" t="n">
        <f aca="false">F64/100*INDEX(Alimentos!$H$5:$H$40,MATCH($C64,Alimentos!$B$5:$B$40,0))</f>
        <v>0</v>
      </c>
    </row>
    <row r="65" customFormat="false" ht="15" hidden="false" customHeight="false" outlineLevel="0" collapsed="false">
      <c r="A65" s="10" t="s">
        <v>247</v>
      </c>
      <c r="B65" s="10" t="s">
        <v>243</v>
      </c>
      <c r="C65" s="10" t="s">
        <v>113</v>
      </c>
      <c r="D65" s="6" t="n">
        <v>2</v>
      </c>
      <c r="E65" s="20" t="s">
        <v>55</v>
      </c>
      <c r="F65" s="14" t="n">
        <f aca="false">D65*IFERROR(VLOOKUP(E65,Perfil!$B$19:$C$24,2,0),1)</f>
        <v>50</v>
      </c>
      <c r="G65" s="17" t="n">
        <f aca="false">F65/100*INDEX(Alimentos!$E$5:$E$40,MATCH($C65,Alimentos!$B$5:$B$40,0))</f>
        <v>158.5</v>
      </c>
      <c r="H65" s="17" t="n">
        <f aca="false">F65/100*INDEX(Alimentos!$F$5:$F$40,MATCH($C65,Alimentos!$B$5:$B$40,0))</f>
        <v>3.4</v>
      </c>
      <c r="I65" s="17" t="n">
        <f aca="false">F65/100*INDEX(Alimentos!$G$5:$G$40,MATCH($C65,Alimentos!$B$5:$B$40,0))</f>
        <v>1.25</v>
      </c>
      <c r="J65" s="17" t="n">
        <f aca="false">F65/100*INDEX(Alimentos!$H$5:$H$40,MATCH($C65,Alimentos!$B$5:$B$40,0))</f>
        <v>34.6</v>
      </c>
    </row>
    <row r="66" customFormat="false" ht="15" hidden="false" customHeight="false" outlineLevel="0" collapsed="false">
      <c r="A66" s="10" t="s">
        <v>247</v>
      </c>
      <c r="B66" s="10" t="s">
        <v>243</v>
      </c>
      <c r="C66" s="10" t="s">
        <v>121</v>
      </c>
      <c r="D66" s="6" t="n">
        <v>2</v>
      </c>
      <c r="E66" s="20" t="s">
        <v>56</v>
      </c>
      <c r="F66" s="14" t="n">
        <f aca="false">D66*IFERROR(VLOOKUP(E66,Perfil!$B$19:$C$24,2,0),1)</f>
        <v>50</v>
      </c>
      <c r="G66" s="17" t="n">
        <f aca="false">F66/100*INDEX(Alimentos!$E$5:$E$40,MATCH($C66,Alimentos!$B$5:$B$40,0))</f>
        <v>166.5</v>
      </c>
      <c r="H66" s="17" t="n">
        <f aca="false">F66/100*INDEX(Alimentos!$F$5:$F$40,MATCH($C66,Alimentos!$B$5:$B$40,0))</f>
        <v>6.65</v>
      </c>
      <c r="I66" s="17" t="n">
        <f aca="false">F66/100*INDEX(Alimentos!$G$5:$G$40,MATCH($C66,Alimentos!$B$5:$B$40,0))</f>
        <v>2</v>
      </c>
      <c r="J66" s="17" t="n">
        <f aca="false">F66/100*INDEX(Alimentos!$H$5:$H$40,MATCH($C66,Alimentos!$B$5:$B$40,0))</f>
        <v>36.1</v>
      </c>
    </row>
    <row r="67" customFormat="false" ht="15" hidden="false" customHeight="false" outlineLevel="0" collapsed="false">
      <c r="A67" s="10" t="s">
        <v>247</v>
      </c>
      <c r="B67" s="10" t="s">
        <v>243</v>
      </c>
      <c r="C67" s="10" t="s">
        <v>190</v>
      </c>
      <c r="D67" s="6" t="n">
        <v>45</v>
      </c>
      <c r="E67" s="20" t="s">
        <v>64</v>
      </c>
      <c r="F67" s="14" t="n">
        <f aca="false">D67*IFERROR(VLOOKUP(E67,Perfil!$B$19:$C$24,2,0),1)</f>
        <v>45</v>
      </c>
      <c r="G67" s="17" t="n">
        <f aca="false">F67/100*INDEX(Alimentos!$E$5:$E$40,MATCH($C67,Alimentos!$B$5:$B$40,0))</f>
        <v>58.5</v>
      </c>
      <c r="H67" s="17" t="n">
        <f aca="false">F67/100*INDEX(Alimentos!$F$5:$F$40,MATCH($C67,Alimentos!$B$5:$B$40,0))</f>
        <v>0.765</v>
      </c>
      <c r="I67" s="17" t="n">
        <f aca="false">F67/100*INDEX(Alimentos!$G$5:$G$40,MATCH($C67,Alimentos!$B$5:$B$40,0))</f>
        <v>5.625</v>
      </c>
      <c r="J67" s="17" t="n">
        <f aca="false">F67/100*INDEX(Alimentos!$H$5:$H$40,MATCH($C67,Alimentos!$B$5:$B$40,0))</f>
        <v>2.52</v>
      </c>
    </row>
    <row r="68" customFormat="false" ht="15" hidden="false" customHeight="false" outlineLevel="0" collapsed="false">
      <c r="A68" s="10" t="s">
        <v>247</v>
      </c>
      <c r="B68" s="10" t="s">
        <v>244</v>
      </c>
      <c r="C68" s="10" t="s">
        <v>133</v>
      </c>
      <c r="D68" s="6" t="n">
        <v>2</v>
      </c>
      <c r="E68" s="20" t="s">
        <v>60</v>
      </c>
      <c r="F68" s="14" t="n">
        <f aca="false">D68*IFERROR(VLOOKUP(E68,Perfil!$B$19:$C$24,2,0),1)</f>
        <v>300</v>
      </c>
      <c r="G68" s="17" t="n">
        <f aca="false">F68/100*INDEX(Alimentos!$E$5:$E$40,MATCH($C68,Alimentos!$B$5:$B$40,0))</f>
        <v>261</v>
      </c>
      <c r="H68" s="17" t="n">
        <f aca="false">F68/100*INDEX(Alimentos!$F$5:$F$40,MATCH($C68,Alimentos!$B$5:$B$40,0))</f>
        <v>6.3</v>
      </c>
      <c r="I68" s="17" t="n">
        <f aca="false">F68/100*INDEX(Alimentos!$G$5:$G$40,MATCH($C68,Alimentos!$B$5:$B$40,0))</f>
        <v>0.3</v>
      </c>
      <c r="J68" s="17" t="n">
        <f aca="false">F68/100*INDEX(Alimentos!$H$5:$H$40,MATCH($C68,Alimentos!$B$5:$B$40,0))</f>
        <v>66.9</v>
      </c>
    </row>
    <row r="69" customFormat="false" ht="15" hidden="false" customHeight="false" outlineLevel="0" collapsed="false">
      <c r="A69" s="10" t="s">
        <v>247</v>
      </c>
      <c r="B69" s="10" t="s">
        <v>244</v>
      </c>
      <c r="C69" s="10" t="s">
        <v>173</v>
      </c>
      <c r="D69" s="6" t="n">
        <v>100</v>
      </c>
      <c r="E69" s="20" t="s">
        <v>64</v>
      </c>
      <c r="F69" s="14" t="n">
        <f aca="false">D69*IFERROR(VLOOKUP(E69,Perfil!$B$19:$C$24,2,0),1)</f>
        <v>100</v>
      </c>
      <c r="G69" s="17" t="n">
        <f aca="false">F69/100*INDEX(Alimentos!$E$5:$E$40,MATCH($C69,Alimentos!$B$5:$B$40,0))</f>
        <v>145</v>
      </c>
      <c r="H69" s="17" t="n">
        <f aca="false">F69/100*INDEX(Alimentos!$F$5:$F$40,MATCH($C69,Alimentos!$B$5:$B$40,0))</f>
        <v>12.8</v>
      </c>
      <c r="I69" s="17" t="n">
        <f aca="false">F69/100*INDEX(Alimentos!$G$5:$G$40,MATCH($C69,Alimentos!$B$5:$B$40,0))</f>
        <v>9.9</v>
      </c>
      <c r="J69" s="17" t="n">
        <f aca="false">F69/100*INDEX(Alimentos!$H$5:$H$40,MATCH($C69,Alimentos!$B$5:$B$40,0))</f>
        <v>0</v>
      </c>
    </row>
    <row r="70" customFormat="false" ht="15" hidden="false" customHeight="false" outlineLevel="0" collapsed="false">
      <c r="A70" s="10" t="s">
        <v>247</v>
      </c>
      <c r="B70" s="10" t="s">
        <v>244</v>
      </c>
      <c r="C70" s="10" t="s">
        <v>176</v>
      </c>
      <c r="D70" s="6" t="n">
        <v>100</v>
      </c>
      <c r="E70" s="20" t="s">
        <v>64</v>
      </c>
      <c r="F70" s="14" t="n">
        <f aca="false">D70*IFERROR(VLOOKUP(E70,Perfil!$B$19:$C$24,2,0),1)</f>
        <v>100</v>
      </c>
      <c r="G70" s="17" t="n">
        <f aca="false">F70/100*INDEX(Alimentos!$E$5:$E$40,MATCH($C70,Alimentos!$B$5:$B$40,0))</f>
        <v>55</v>
      </c>
      <c r="H70" s="17" t="n">
        <f aca="false">F70/100*INDEX(Alimentos!$F$5:$F$40,MATCH($C70,Alimentos!$B$5:$B$40,0))</f>
        <v>11.9</v>
      </c>
      <c r="I70" s="17" t="n">
        <f aca="false">F70/100*INDEX(Alimentos!$G$5:$G$40,MATCH($C70,Alimentos!$B$5:$B$40,0))</f>
        <v>0.3</v>
      </c>
      <c r="J70" s="17" t="n">
        <f aca="false">F70/100*INDEX(Alimentos!$H$5:$H$40,MATCH($C70,Alimentos!$B$5:$B$40,0))</f>
        <v>0</v>
      </c>
    </row>
    <row r="71" customFormat="false" ht="15" hidden="false" customHeight="false" outlineLevel="0" collapsed="false">
      <c r="A71" s="10" t="s">
        <v>247</v>
      </c>
      <c r="B71" s="10" t="s">
        <v>244</v>
      </c>
      <c r="C71" s="10" t="s">
        <v>210</v>
      </c>
      <c r="D71" s="6" t="n">
        <v>80</v>
      </c>
      <c r="E71" s="20" t="s">
        <v>64</v>
      </c>
      <c r="F71" s="14" t="n">
        <f aca="false">D71*IFERROR(VLOOKUP(E71,Perfil!$B$19:$C$24,2,0),1)</f>
        <v>80</v>
      </c>
      <c r="G71" s="17" t="n">
        <f aca="false">F71/100*INDEX(Alimentos!$E$5:$E$40,MATCH($C71,Alimentos!$B$5:$B$40,0))</f>
        <v>12</v>
      </c>
      <c r="H71" s="17" t="n">
        <f aca="false">F71/100*INDEX(Alimentos!$F$5:$F$40,MATCH($C71,Alimentos!$B$5:$B$40,0))</f>
        <v>1.2</v>
      </c>
      <c r="I71" s="17" t="n">
        <f aca="false">F71/100*INDEX(Alimentos!$G$5:$G$40,MATCH($C71,Alimentos!$B$5:$B$40,0))</f>
        <v>0.24</v>
      </c>
      <c r="J71" s="17" t="n">
        <f aca="false">F71/100*INDEX(Alimentos!$H$5:$H$40,MATCH($C71,Alimentos!$B$5:$B$40,0))</f>
        <v>3.92</v>
      </c>
    </row>
    <row r="72" customFormat="false" ht="15" hidden="false" customHeight="false" outlineLevel="0" collapsed="false">
      <c r="A72" s="10" t="s">
        <v>247</v>
      </c>
      <c r="B72" s="10" t="s">
        <v>244</v>
      </c>
      <c r="C72" s="10" t="s">
        <v>213</v>
      </c>
      <c r="D72" s="6" t="n">
        <v>50</v>
      </c>
      <c r="E72" s="20" t="s">
        <v>64</v>
      </c>
      <c r="F72" s="14" t="n">
        <f aca="false">D72*IFERROR(VLOOKUP(E72,Perfil!$B$19:$C$24,2,0),1)</f>
        <v>50</v>
      </c>
      <c r="G72" s="17" t="n">
        <f aca="false">F72/100*INDEX(Alimentos!$E$5:$E$40,MATCH($C72,Alimentos!$B$5:$B$40,0))</f>
        <v>9</v>
      </c>
      <c r="H72" s="17" t="n">
        <f aca="false">F72/100*INDEX(Alimentos!$F$5:$F$40,MATCH($C72,Alimentos!$B$5:$B$40,0))</f>
        <v>1</v>
      </c>
      <c r="I72" s="17" t="n">
        <f aca="false">F72/100*INDEX(Alimentos!$G$5:$G$40,MATCH($C72,Alimentos!$B$5:$B$40,0))</f>
        <v>0.15</v>
      </c>
      <c r="J72" s="17" t="n">
        <f aca="false">F72/100*INDEX(Alimentos!$H$5:$H$40,MATCH($C72,Alimentos!$B$5:$B$40,0))</f>
        <v>2.7</v>
      </c>
    </row>
    <row r="73" customFormat="false" ht="15" hidden="false" customHeight="false" outlineLevel="0" collapsed="false">
      <c r="A73" s="10" t="s">
        <v>247</v>
      </c>
      <c r="B73" s="10" t="s">
        <v>244</v>
      </c>
      <c r="C73" s="10" t="s">
        <v>197</v>
      </c>
      <c r="D73" s="6" t="n">
        <v>70</v>
      </c>
      <c r="E73" s="20" t="s">
        <v>64</v>
      </c>
      <c r="F73" s="14" t="n">
        <f aca="false">D73*IFERROR(VLOOKUP(E73,Perfil!$B$19:$C$24,2,0),1)</f>
        <v>70</v>
      </c>
      <c r="G73" s="17" t="n">
        <f aca="false">F73/100*INDEX(Alimentos!$E$5:$E$40,MATCH($C73,Alimentos!$B$5:$B$40,0))</f>
        <v>10.5</v>
      </c>
      <c r="H73" s="17" t="n">
        <f aca="false">F73/100*INDEX(Alimentos!$F$5:$F$40,MATCH($C73,Alimentos!$B$5:$B$40,0))</f>
        <v>0.56</v>
      </c>
      <c r="I73" s="17" t="n">
        <f aca="false">F73/100*INDEX(Alimentos!$G$5:$G$40,MATCH($C73,Alimentos!$B$5:$B$40,0))</f>
        <v>0.14</v>
      </c>
      <c r="J73" s="17" t="n">
        <f aca="false">F73/100*INDEX(Alimentos!$H$5:$H$40,MATCH($C73,Alimentos!$B$5:$B$40,0))</f>
        <v>3.01</v>
      </c>
    </row>
    <row r="74" customFormat="false" ht="15" hidden="false" customHeight="false" outlineLevel="0" collapsed="false">
      <c r="A74" s="10" t="s">
        <v>248</v>
      </c>
      <c r="B74" s="10" t="s">
        <v>241</v>
      </c>
      <c r="C74" s="10" t="s">
        <v>113</v>
      </c>
      <c r="D74" s="6" t="n">
        <v>3</v>
      </c>
      <c r="E74" s="20" t="s">
        <v>55</v>
      </c>
      <c r="F74" s="14" t="n">
        <f aca="false">D74*IFERROR(VLOOKUP(E74,Perfil!$B$19:$C$24,2,0),1)</f>
        <v>75</v>
      </c>
      <c r="G74" s="17" t="n">
        <f aca="false">F74/100*INDEX(Alimentos!$E$5:$E$40,MATCH($C74,Alimentos!$B$5:$B$40,0))</f>
        <v>237.75</v>
      </c>
      <c r="H74" s="17" t="n">
        <f aca="false">F74/100*INDEX(Alimentos!$F$5:$F$40,MATCH($C74,Alimentos!$B$5:$B$40,0))</f>
        <v>5.1</v>
      </c>
      <c r="I74" s="17" t="n">
        <f aca="false">F74/100*INDEX(Alimentos!$G$5:$G$40,MATCH($C74,Alimentos!$B$5:$B$40,0))</f>
        <v>1.875</v>
      </c>
      <c r="J74" s="17" t="n">
        <f aca="false">F74/100*INDEX(Alimentos!$H$5:$H$40,MATCH($C74,Alimentos!$B$5:$B$40,0))</f>
        <v>51.9</v>
      </c>
    </row>
    <row r="75" customFormat="false" ht="15" hidden="false" customHeight="false" outlineLevel="0" collapsed="false">
      <c r="A75" s="10" t="s">
        <v>248</v>
      </c>
      <c r="B75" s="10" t="s">
        <v>241</v>
      </c>
      <c r="C75" s="10" t="s">
        <v>121</v>
      </c>
      <c r="D75" s="6" t="n">
        <v>1</v>
      </c>
      <c r="E75" s="20" t="s">
        <v>56</v>
      </c>
      <c r="F75" s="14" t="n">
        <f aca="false">D75*IFERROR(VLOOKUP(E75,Perfil!$B$19:$C$24,2,0),1)</f>
        <v>25</v>
      </c>
      <c r="G75" s="17" t="n">
        <f aca="false">F75/100*INDEX(Alimentos!$E$5:$E$40,MATCH($C75,Alimentos!$B$5:$B$40,0))</f>
        <v>83.25</v>
      </c>
      <c r="H75" s="17" t="n">
        <f aca="false">F75/100*INDEX(Alimentos!$F$5:$F$40,MATCH($C75,Alimentos!$B$5:$B$40,0))</f>
        <v>3.325</v>
      </c>
      <c r="I75" s="17" t="n">
        <f aca="false">F75/100*INDEX(Alimentos!$G$5:$G$40,MATCH($C75,Alimentos!$B$5:$B$40,0))</f>
        <v>1</v>
      </c>
      <c r="J75" s="17" t="n">
        <f aca="false">F75/100*INDEX(Alimentos!$H$5:$H$40,MATCH($C75,Alimentos!$B$5:$B$40,0))</f>
        <v>18.05</v>
      </c>
    </row>
    <row r="76" customFormat="false" ht="15" hidden="false" customHeight="false" outlineLevel="0" collapsed="false">
      <c r="A76" s="10" t="s">
        <v>248</v>
      </c>
      <c r="B76" s="10" t="s">
        <v>241</v>
      </c>
      <c r="C76" s="10" t="s">
        <v>190</v>
      </c>
      <c r="D76" s="6" t="n">
        <v>45</v>
      </c>
      <c r="E76" s="20" t="s">
        <v>64</v>
      </c>
      <c r="F76" s="14" t="n">
        <f aca="false">D76*IFERROR(VLOOKUP(E76,Perfil!$B$19:$C$24,2,0),1)</f>
        <v>45</v>
      </c>
      <c r="G76" s="17" t="n">
        <f aca="false">F76/100*INDEX(Alimentos!$E$5:$E$40,MATCH($C76,Alimentos!$B$5:$B$40,0))</f>
        <v>58.5</v>
      </c>
      <c r="H76" s="17" t="n">
        <f aca="false">F76/100*INDEX(Alimentos!$F$5:$F$40,MATCH($C76,Alimentos!$B$5:$B$40,0))</f>
        <v>0.765</v>
      </c>
      <c r="I76" s="17" t="n">
        <f aca="false">F76/100*INDEX(Alimentos!$G$5:$G$40,MATCH($C76,Alimentos!$B$5:$B$40,0))</f>
        <v>5.625</v>
      </c>
      <c r="J76" s="17" t="n">
        <f aca="false">F76/100*INDEX(Alimentos!$H$5:$H$40,MATCH($C76,Alimentos!$B$5:$B$40,0))</f>
        <v>2.52</v>
      </c>
    </row>
    <row r="77" customFormat="false" ht="15" hidden="false" customHeight="false" outlineLevel="0" collapsed="false">
      <c r="A77" s="10" t="s">
        <v>248</v>
      </c>
      <c r="B77" s="10" t="s">
        <v>242</v>
      </c>
      <c r="C77" s="10" t="s">
        <v>142</v>
      </c>
      <c r="D77" s="6" t="n">
        <v>250</v>
      </c>
      <c r="E77" s="20" t="s">
        <v>64</v>
      </c>
      <c r="F77" s="14" t="n">
        <f aca="false">D77*IFERROR(VLOOKUP(E77,Perfil!$B$19:$C$24,2,0),1)</f>
        <v>250</v>
      </c>
      <c r="G77" s="17" t="n">
        <f aca="false">F77/100*INDEX(Alimentos!$E$5:$E$40,MATCH($C77,Alimentos!$B$5:$B$40,0))</f>
        <v>225</v>
      </c>
      <c r="H77" s="17" t="n">
        <f aca="false">F77/100*INDEX(Alimentos!$F$5:$F$40,MATCH($C77,Alimentos!$B$5:$B$40,0))</f>
        <v>7.75</v>
      </c>
      <c r="I77" s="17" t="n">
        <f aca="false">F77/100*INDEX(Alimentos!$G$5:$G$40,MATCH($C77,Alimentos!$B$5:$B$40,0))</f>
        <v>0</v>
      </c>
      <c r="J77" s="17" t="n">
        <f aca="false">F77/100*INDEX(Alimentos!$H$5:$H$40,MATCH($C77,Alimentos!$B$5:$B$40,0))</f>
        <v>53.25</v>
      </c>
    </row>
    <row r="78" customFormat="false" ht="15" hidden="false" customHeight="false" outlineLevel="0" collapsed="false">
      <c r="A78" s="10" t="s">
        <v>248</v>
      </c>
      <c r="B78" s="10" t="s">
        <v>242</v>
      </c>
      <c r="C78" s="10" t="s">
        <v>152</v>
      </c>
      <c r="D78" s="6" t="n">
        <v>150</v>
      </c>
      <c r="E78" s="20" t="s">
        <v>64</v>
      </c>
      <c r="F78" s="14" t="n">
        <f aca="false">D78*IFERROR(VLOOKUP(E78,Perfil!$B$19:$C$24,2,0),1)</f>
        <v>150</v>
      </c>
      <c r="G78" s="17" t="n">
        <f aca="false">F78/100*INDEX(Alimentos!$E$5:$E$40,MATCH($C78,Alimentos!$B$5:$B$40,0))</f>
        <v>178.5</v>
      </c>
      <c r="H78" s="17" t="n">
        <f aca="false">F78/100*INDEX(Alimentos!$F$5:$F$40,MATCH($C78,Alimentos!$B$5:$B$40,0))</f>
        <v>32.1</v>
      </c>
      <c r="I78" s="17" t="n">
        <f aca="false">F78/100*INDEX(Alimentos!$G$5:$G$40,MATCH($C78,Alimentos!$B$5:$B$40,0))</f>
        <v>4.65</v>
      </c>
      <c r="J78" s="17" t="n">
        <f aca="false">F78/100*INDEX(Alimentos!$H$5:$H$40,MATCH($C78,Alimentos!$B$5:$B$40,0))</f>
        <v>0</v>
      </c>
    </row>
    <row r="79" customFormat="false" ht="15" hidden="false" customHeight="false" outlineLevel="0" collapsed="false">
      <c r="A79" s="10" t="s">
        <v>248</v>
      </c>
      <c r="B79" s="10" t="s">
        <v>242</v>
      </c>
      <c r="C79" s="10" t="s">
        <v>217</v>
      </c>
      <c r="D79" s="6" t="n">
        <v>60</v>
      </c>
      <c r="E79" s="20" t="s">
        <v>64</v>
      </c>
      <c r="F79" s="14" t="n">
        <f aca="false">D79*IFERROR(VLOOKUP(E79,Perfil!$B$19:$C$24,2,0),1)</f>
        <v>60</v>
      </c>
      <c r="G79" s="17" t="n">
        <f aca="false">F79/100*INDEX(Alimentos!$E$5:$E$40,MATCH($C79,Alimentos!$B$5:$B$40,0))</f>
        <v>14.4</v>
      </c>
      <c r="H79" s="17" t="n">
        <f aca="false">F79/100*INDEX(Alimentos!$F$5:$F$40,MATCH($C79,Alimentos!$B$5:$B$40,0))</f>
        <v>1.14</v>
      </c>
      <c r="I79" s="17" t="n">
        <f aca="false">F79/100*INDEX(Alimentos!$G$5:$G$40,MATCH($C79,Alimentos!$B$5:$B$40,0))</f>
        <v>0.36</v>
      </c>
      <c r="J79" s="17" t="n">
        <f aca="false">F79/100*INDEX(Alimentos!$H$5:$H$40,MATCH($C79,Alimentos!$B$5:$B$40,0))</f>
        <v>3.78</v>
      </c>
    </row>
    <row r="80" customFormat="false" ht="15" hidden="false" customHeight="false" outlineLevel="0" collapsed="false">
      <c r="A80" s="10" t="s">
        <v>248</v>
      </c>
      <c r="B80" s="10" t="s">
        <v>242</v>
      </c>
      <c r="C80" s="10" t="s">
        <v>197</v>
      </c>
      <c r="D80" s="6" t="n">
        <v>70</v>
      </c>
      <c r="E80" s="20" t="s">
        <v>64</v>
      </c>
      <c r="F80" s="14" t="n">
        <f aca="false">D80*IFERROR(VLOOKUP(E80,Perfil!$B$19:$C$24,2,0),1)</f>
        <v>70</v>
      </c>
      <c r="G80" s="17" t="n">
        <f aca="false">F80/100*INDEX(Alimentos!$E$5:$E$40,MATCH($C80,Alimentos!$B$5:$B$40,0))</f>
        <v>10.5</v>
      </c>
      <c r="H80" s="17" t="n">
        <f aca="false">F80/100*INDEX(Alimentos!$F$5:$F$40,MATCH($C80,Alimentos!$B$5:$B$40,0))</f>
        <v>0.56</v>
      </c>
      <c r="I80" s="17" t="n">
        <f aca="false">F80/100*INDEX(Alimentos!$G$5:$G$40,MATCH($C80,Alimentos!$B$5:$B$40,0))</f>
        <v>0.14</v>
      </c>
      <c r="J80" s="17" t="n">
        <f aca="false">F80/100*INDEX(Alimentos!$H$5:$H$40,MATCH($C80,Alimentos!$B$5:$B$40,0))</f>
        <v>3.01</v>
      </c>
    </row>
    <row r="81" customFormat="false" ht="15" hidden="false" customHeight="false" outlineLevel="0" collapsed="false">
      <c r="A81" s="10" t="s">
        <v>248</v>
      </c>
      <c r="B81" s="10" t="s">
        <v>242</v>
      </c>
      <c r="C81" s="10" t="s">
        <v>220</v>
      </c>
      <c r="D81" s="6" t="n">
        <v>70</v>
      </c>
      <c r="E81" s="20" t="s">
        <v>64</v>
      </c>
      <c r="F81" s="14" t="n">
        <f aca="false">D81*IFERROR(VLOOKUP(E81,Perfil!$B$19:$C$24,2,0),1)</f>
        <v>70</v>
      </c>
      <c r="G81" s="17" t="n">
        <f aca="false">F81/100*INDEX(Alimentos!$E$5:$E$40,MATCH($C81,Alimentos!$B$5:$B$40,0))</f>
        <v>17.5</v>
      </c>
      <c r="H81" s="17" t="n">
        <f aca="false">F81/100*INDEX(Alimentos!$F$5:$F$40,MATCH($C81,Alimentos!$B$5:$B$40,0))</f>
        <v>1.68</v>
      </c>
      <c r="I81" s="17" t="n">
        <f aca="false">F81/100*INDEX(Alimentos!$G$5:$G$40,MATCH($C81,Alimentos!$B$5:$B$40,0))</f>
        <v>0.21</v>
      </c>
      <c r="J81" s="17" t="n">
        <f aca="false">F81/100*INDEX(Alimentos!$H$5:$H$40,MATCH($C81,Alimentos!$B$5:$B$40,0))</f>
        <v>5.67</v>
      </c>
    </row>
    <row r="82" customFormat="false" ht="15" hidden="false" customHeight="false" outlineLevel="0" collapsed="false">
      <c r="A82" s="10" t="s">
        <v>248</v>
      </c>
      <c r="B82" s="10" t="s">
        <v>242</v>
      </c>
      <c r="C82" s="10" t="s">
        <v>230</v>
      </c>
      <c r="D82" s="6" t="n">
        <v>1</v>
      </c>
      <c r="E82" s="20" t="s">
        <v>62</v>
      </c>
      <c r="F82" s="14" t="n">
        <f aca="false">D82*IFERROR(VLOOKUP(E82,Perfil!$B$19:$C$24,2,0),1)</f>
        <v>5</v>
      </c>
      <c r="G82" s="17" t="n">
        <f aca="false">F82/100*INDEX(Alimentos!$E$5:$E$40,MATCH($C82,Alimentos!$B$5:$B$40,0))</f>
        <v>44.2</v>
      </c>
      <c r="H82" s="17" t="n">
        <f aca="false">F82/100*INDEX(Alimentos!$F$5:$F$40,MATCH($C82,Alimentos!$B$5:$B$40,0))</f>
        <v>0</v>
      </c>
      <c r="I82" s="17" t="n">
        <f aca="false">F82/100*INDEX(Alimentos!$G$5:$G$40,MATCH($C82,Alimentos!$B$5:$B$40,0))</f>
        <v>5</v>
      </c>
      <c r="J82" s="17" t="n">
        <f aca="false">F82/100*INDEX(Alimentos!$H$5:$H$40,MATCH($C82,Alimentos!$B$5:$B$40,0))</f>
        <v>0</v>
      </c>
    </row>
    <row r="83" customFormat="false" ht="15" hidden="false" customHeight="false" outlineLevel="0" collapsed="false">
      <c r="A83" s="10" t="s">
        <v>248</v>
      </c>
      <c r="B83" s="10" t="s">
        <v>243</v>
      </c>
      <c r="C83" s="10" t="s">
        <v>113</v>
      </c>
      <c r="D83" s="6" t="n">
        <v>2</v>
      </c>
      <c r="E83" s="20" t="s">
        <v>55</v>
      </c>
      <c r="F83" s="14" t="n">
        <f aca="false">D83*IFERROR(VLOOKUP(E83,Perfil!$B$19:$C$24,2,0),1)</f>
        <v>50</v>
      </c>
      <c r="G83" s="17" t="n">
        <f aca="false">F83/100*INDEX(Alimentos!$E$5:$E$40,MATCH($C83,Alimentos!$B$5:$B$40,0))</f>
        <v>158.5</v>
      </c>
      <c r="H83" s="17" t="n">
        <f aca="false">F83/100*INDEX(Alimentos!$F$5:$F$40,MATCH($C83,Alimentos!$B$5:$B$40,0))</f>
        <v>3.4</v>
      </c>
      <c r="I83" s="17" t="n">
        <f aca="false">F83/100*INDEX(Alimentos!$G$5:$G$40,MATCH($C83,Alimentos!$B$5:$B$40,0))</f>
        <v>1.25</v>
      </c>
      <c r="J83" s="17" t="n">
        <f aca="false">F83/100*INDEX(Alimentos!$H$5:$H$40,MATCH($C83,Alimentos!$B$5:$B$40,0))</f>
        <v>34.6</v>
      </c>
    </row>
    <row r="84" customFormat="false" ht="15" hidden="false" customHeight="false" outlineLevel="0" collapsed="false">
      <c r="A84" s="10" t="s">
        <v>248</v>
      </c>
      <c r="B84" s="10" t="s">
        <v>243</v>
      </c>
      <c r="C84" s="10" t="s">
        <v>121</v>
      </c>
      <c r="D84" s="6" t="n">
        <v>2</v>
      </c>
      <c r="E84" s="20" t="s">
        <v>56</v>
      </c>
      <c r="F84" s="14" t="n">
        <f aca="false">D84*IFERROR(VLOOKUP(E84,Perfil!$B$19:$C$24,2,0),1)</f>
        <v>50</v>
      </c>
      <c r="G84" s="17" t="n">
        <f aca="false">F84/100*INDEX(Alimentos!$E$5:$E$40,MATCH($C84,Alimentos!$B$5:$B$40,0))</f>
        <v>166.5</v>
      </c>
      <c r="H84" s="17" t="n">
        <f aca="false">F84/100*INDEX(Alimentos!$F$5:$F$40,MATCH($C84,Alimentos!$B$5:$B$40,0))</f>
        <v>6.65</v>
      </c>
      <c r="I84" s="17" t="n">
        <f aca="false">F84/100*INDEX(Alimentos!$G$5:$G$40,MATCH($C84,Alimentos!$B$5:$B$40,0))</f>
        <v>2</v>
      </c>
      <c r="J84" s="17" t="n">
        <f aca="false">F84/100*INDEX(Alimentos!$H$5:$H$40,MATCH($C84,Alimentos!$B$5:$B$40,0))</f>
        <v>36.1</v>
      </c>
    </row>
    <row r="85" customFormat="false" ht="15" hidden="false" customHeight="false" outlineLevel="0" collapsed="false">
      <c r="A85" s="10" t="s">
        <v>248</v>
      </c>
      <c r="B85" s="10" t="s">
        <v>243</v>
      </c>
      <c r="C85" s="10" t="s">
        <v>190</v>
      </c>
      <c r="D85" s="6" t="n">
        <v>45</v>
      </c>
      <c r="E85" s="20" t="s">
        <v>64</v>
      </c>
      <c r="F85" s="14" t="n">
        <f aca="false">D85*IFERROR(VLOOKUP(E85,Perfil!$B$19:$C$24,2,0),1)</f>
        <v>45</v>
      </c>
      <c r="G85" s="17" t="n">
        <f aca="false">F85/100*INDEX(Alimentos!$E$5:$E$40,MATCH($C85,Alimentos!$B$5:$B$40,0))</f>
        <v>58.5</v>
      </c>
      <c r="H85" s="17" t="n">
        <f aca="false">F85/100*INDEX(Alimentos!$F$5:$F$40,MATCH($C85,Alimentos!$B$5:$B$40,0))</f>
        <v>0.765</v>
      </c>
      <c r="I85" s="17" t="n">
        <f aca="false">F85/100*INDEX(Alimentos!$G$5:$G$40,MATCH($C85,Alimentos!$B$5:$B$40,0))</f>
        <v>5.625</v>
      </c>
      <c r="J85" s="17" t="n">
        <f aca="false">F85/100*INDEX(Alimentos!$H$5:$H$40,MATCH($C85,Alimentos!$B$5:$B$40,0))</f>
        <v>2.52</v>
      </c>
    </row>
    <row r="86" customFormat="false" ht="15" hidden="false" customHeight="false" outlineLevel="0" collapsed="false">
      <c r="A86" s="10" t="s">
        <v>248</v>
      </c>
      <c r="B86" s="10" t="s">
        <v>244</v>
      </c>
      <c r="C86" s="10" t="s">
        <v>128</v>
      </c>
      <c r="D86" s="6" t="n">
        <v>3</v>
      </c>
      <c r="E86" s="20" t="s">
        <v>58</v>
      </c>
      <c r="F86" s="14" t="n">
        <f aca="false">D86*IFERROR(VLOOKUP(E86,Perfil!$B$19:$C$24,2,0),1)</f>
        <v>210</v>
      </c>
      <c r="G86" s="17" t="n">
        <f aca="false">F86/100*INDEX(Alimentos!$E$5:$E$40,MATCH($C86,Alimentos!$B$5:$B$40,0))</f>
        <v>241.5</v>
      </c>
      <c r="H86" s="17" t="n">
        <f aca="false">F86/100*INDEX(Alimentos!$F$5:$F$40,MATCH($C86,Alimentos!$B$5:$B$40,0))</f>
        <v>5.04</v>
      </c>
      <c r="I86" s="17" t="n">
        <f aca="false">F86/100*INDEX(Alimentos!$G$5:$G$40,MATCH($C86,Alimentos!$B$5:$B$40,0))</f>
        <v>0.21</v>
      </c>
      <c r="J86" s="17" t="n">
        <f aca="false">F86/100*INDEX(Alimentos!$H$5:$H$40,MATCH($C86,Alimentos!$B$5:$B$40,0))</f>
        <v>52.92</v>
      </c>
    </row>
    <row r="87" customFormat="false" ht="15" hidden="false" customHeight="false" outlineLevel="0" collapsed="false">
      <c r="A87" s="10" t="s">
        <v>248</v>
      </c>
      <c r="B87" s="10" t="s">
        <v>244</v>
      </c>
      <c r="C87" s="10" t="s">
        <v>155</v>
      </c>
      <c r="D87" s="6" t="n">
        <v>140</v>
      </c>
      <c r="E87" s="20" t="s">
        <v>64</v>
      </c>
      <c r="F87" s="14" t="n">
        <f aca="false">D87*IFERROR(VLOOKUP(E87,Perfil!$B$19:$C$24,2,0),1)</f>
        <v>140</v>
      </c>
      <c r="G87" s="17" t="n">
        <f aca="false">F87/100*INDEX(Alimentos!$E$5:$E$40,MATCH($C87,Alimentos!$B$5:$B$40,0))</f>
        <v>147</v>
      </c>
      <c r="H87" s="17" t="n">
        <f aca="false">F87/100*INDEX(Alimentos!$F$5:$F$40,MATCH($C87,Alimentos!$B$5:$B$40,0))</f>
        <v>29.82</v>
      </c>
      <c r="I87" s="17" t="n">
        <f aca="false">F87/100*INDEX(Alimentos!$G$5:$G$40,MATCH($C87,Alimentos!$B$5:$B$40,0))</f>
        <v>2.24</v>
      </c>
      <c r="J87" s="17" t="n">
        <f aca="false">F87/100*INDEX(Alimentos!$H$5:$H$40,MATCH($C87,Alimentos!$B$5:$B$40,0))</f>
        <v>0</v>
      </c>
    </row>
    <row r="88" customFormat="false" ht="15" hidden="false" customHeight="false" outlineLevel="0" collapsed="false">
      <c r="A88" s="10" t="s">
        <v>248</v>
      </c>
      <c r="B88" s="10" t="s">
        <v>244</v>
      </c>
      <c r="C88" s="10" t="s">
        <v>193</v>
      </c>
      <c r="D88" s="6" t="n">
        <v>80</v>
      </c>
      <c r="E88" s="20" t="s">
        <v>64</v>
      </c>
      <c r="F88" s="14" t="n">
        <f aca="false">D88*IFERROR(VLOOKUP(E88,Perfil!$B$19:$C$24,2,0),1)</f>
        <v>80</v>
      </c>
      <c r="G88" s="17" t="n">
        <f aca="false">F88/100*INDEX(Alimentos!$E$5:$E$40,MATCH($C88,Alimentos!$B$5:$B$40,0))</f>
        <v>5.6</v>
      </c>
      <c r="H88" s="17" t="n">
        <f aca="false">F88/100*INDEX(Alimentos!$F$5:$F$40,MATCH($C88,Alimentos!$B$5:$B$40,0))</f>
        <v>0.48</v>
      </c>
      <c r="I88" s="17" t="n">
        <f aca="false">F88/100*INDEX(Alimentos!$G$5:$G$40,MATCH($C88,Alimentos!$B$5:$B$40,0))</f>
        <v>0.08</v>
      </c>
      <c r="J88" s="17" t="n">
        <f aca="false">F88/100*INDEX(Alimentos!$H$5:$H$40,MATCH($C88,Alimentos!$B$5:$B$40,0))</f>
        <v>1.92</v>
      </c>
    </row>
    <row r="89" customFormat="false" ht="15" hidden="false" customHeight="false" outlineLevel="0" collapsed="false">
      <c r="A89" s="10" t="s">
        <v>248</v>
      </c>
      <c r="B89" s="10" t="s">
        <v>244</v>
      </c>
      <c r="C89" s="10" t="s">
        <v>197</v>
      </c>
      <c r="D89" s="6" t="n">
        <v>80</v>
      </c>
      <c r="E89" s="20" t="s">
        <v>64</v>
      </c>
      <c r="F89" s="14" t="n">
        <f aca="false">D89*IFERROR(VLOOKUP(E89,Perfil!$B$19:$C$24,2,0),1)</f>
        <v>80</v>
      </c>
      <c r="G89" s="17" t="n">
        <f aca="false">F89/100*INDEX(Alimentos!$E$5:$E$40,MATCH($C89,Alimentos!$B$5:$B$40,0))</f>
        <v>12</v>
      </c>
      <c r="H89" s="17" t="n">
        <f aca="false">F89/100*INDEX(Alimentos!$F$5:$F$40,MATCH($C89,Alimentos!$B$5:$B$40,0))</f>
        <v>0.64</v>
      </c>
      <c r="I89" s="17" t="n">
        <f aca="false">F89/100*INDEX(Alimentos!$G$5:$G$40,MATCH($C89,Alimentos!$B$5:$B$40,0))</f>
        <v>0.16</v>
      </c>
      <c r="J89" s="17" t="n">
        <f aca="false">F89/100*INDEX(Alimentos!$H$5:$H$40,MATCH($C89,Alimentos!$B$5:$B$40,0))</f>
        <v>3.44</v>
      </c>
    </row>
    <row r="90" customFormat="false" ht="15" hidden="false" customHeight="false" outlineLevel="0" collapsed="false">
      <c r="A90" s="10" t="s">
        <v>248</v>
      </c>
      <c r="B90" s="10" t="s">
        <v>244</v>
      </c>
      <c r="C90" s="10" t="s">
        <v>200</v>
      </c>
      <c r="D90" s="6" t="n">
        <v>40</v>
      </c>
      <c r="E90" s="20" t="s">
        <v>64</v>
      </c>
      <c r="F90" s="14" t="n">
        <f aca="false">D90*IFERROR(VLOOKUP(E90,Perfil!$B$19:$C$24,2,0),1)</f>
        <v>40</v>
      </c>
      <c r="G90" s="17" t="n">
        <f aca="false">F90/100*INDEX(Alimentos!$E$5:$E$40,MATCH($C90,Alimentos!$B$5:$B$40,0))</f>
        <v>7.6</v>
      </c>
      <c r="H90" s="17" t="n">
        <f aca="false">F90/100*INDEX(Alimentos!$F$5:$F$40,MATCH($C90,Alimentos!$B$5:$B$40,0))</f>
        <v>0.4</v>
      </c>
      <c r="I90" s="17" t="n">
        <f aca="false">F90/100*INDEX(Alimentos!$G$5:$G$40,MATCH($C90,Alimentos!$B$5:$B$40,0))</f>
        <v>0.12</v>
      </c>
      <c r="J90" s="17" t="n">
        <f aca="false">F90/100*INDEX(Alimentos!$H$5:$H$40,MATCH($C90,Alimentos!$B$5:$B$40,0))</f>
        <v>3.04</v>
      </c>
    </row>
    <row r="91" customFormat="false" ht="15" hidden="false" customHeight="false" outlineLevel="0" collapsed="false">
      <c r="A91" s="10" t="s">
        <v>249</v>
      </c>
      <c r="B91" s="10" t="s">
        <v>241</v>
      </c>
      <c r="C91" s="10" t="s">
        <v>113</v>
      </c>
      <c r="D91" s="6" t="n">
        <v>3</v>
      </c>
      <c r="E91" s="20" t="s">
        <v>55</v>
      </c>
      <c r="F91" s="14" t="n">
        <f aca="false">D91*IFERROR(VLOOKUP(E91,Perfil!$B$19:$C$24,2,0),1)</f>
        <v>75</v>
      </c>
      <c r="G91" s="17" t="n">
        <f aca="false">F91/100*INDEX(Alimentos!$E$5:$E$40,MATCH($C91,Alimentos!$B$5:$B$40,0))</f>
        <v>237.75</v>
      </c>
      <c r="H91" s="17" t="n">
        <f aca="false">F91/100*INDEX(Alimentos!$F$5:$F$40,MATCH($C91,Alimentos!$B$5:$B$40,0))</f>
        <v>5.1</v>
      </c>
      <c r="I91" s="17" t="n">
        <f aca="false">F91/100*INDEX(Alimentos!$G$5:$G$40,MATCH($C91,Alimentos!$B$5:$B$40,0))</f>
        <v>1.875</v>
      </c>
      <c r="J91" s="17" t="n">
        <f aca="false">F91/100*INDEX(Alimentos!$H$5:$H$40,MATCH($C91,Alimentos!$B$5:$B$40,0))</f>
        <v>51.9</v>
      </c>
    </row>
    <row r="92" customFormat="false" ht="15" hidden="false" customHeight="false" outlineLevel="0" collapsed="false">
      <c r="A92" s="10" t="s">
        <v>249</v>
      </c>
      <c r="B92" s="10" t="s">
        <v>241</v>
      </c>
      <c r="C92" s="10" t="s">
        <v>121</v>
      </c>
      <c r="D92" s="6" t="n">
        <v>1</v>
      </c>
      <c r="E92" s="20" t="s">
        <v>56</v>
      </c>
      <c r="F92" s="14" t="n">
        <f aca="false">D92*IFERROR(VLOOKUP(E92,Perfil!$B$19:$C$24,2,0),1)</f>
        <v>25</v>
      </c>
      <c r="G92" s="17" t="n">
        <f aca="false">F92/100*INDEX(Alimentos!$E$5:$E$40,MATCH($C92,Alimentos!$B$5:$B$40,0))</f>
        <v>83.25</v>
      </c>
      <c r="H92" s="17" t="n">
        <f aca="false">F92/100*INDEX(Alimentos!$F$5:$F$40,MATCH($C92,Alimentos!$B$5:$B$40,0))</f>
        <v>3.325</v>
      </c>
      <c r="I92" s="17" t="n">
        <f aca="false">F92/100*INDEX(Alimentos!$G$5:$G$40,MATCH($C92,Alimentos!$B$5:$B$40,0))</f>
        <v>1</v>
      </c>
      <c r="J92" s="17" t="n">
        <f aca="false">F92/100*INDEX(Alimentos!$H$5:$H$40,MATCH($C92,Alimentos!$B$5:$B$40,0))</f>
        <v>18.05</v>
      </c>
    </row>
    <row r="93" customFormat="false" ht="15" hidden="false" customHeight="false" outlineLevel="0" collapsed="false">
      <c r="A93" s="10" t="s">
        <v>249</v>
      </c>
      <c r="B93" s="10" t="s">
        <v>241</v>
      </c>
      <c r="C93" s="10" t="s">
        <v>186</v>
      </c>
      <c r="D93" s="6" t="n">
        <v>75</v>
      </c>
      <c r="E93" s="20" t="s">
        <v>64</v>
      </c>
      <c r="F93" s="14" t="n">
        <f aca="false">D93*IFERROR(VLOOKUP(E93,Perfil!$B$19:$C$24,2,0),1)</f>
        <v>75</v>
      </c>
      <c r="G93" s="17" t="n">
        <f aca="false">F93/100*INDEX(Alimentos!$E$5:$E$40,MATCH($C93,Alimentos!$B$5:$B$40,0))</f>
        <v>198</v>
      </c>
      <c r="H93" s="17" t="n">
        <f aca="false">F93/100*INDEX(Alimentos!$F$5:$F$40,MATCH($C93,Alimentos!$B$5:$B$40,0))</f>
        <v>13.125</v>
      </c>
      <c r="I93" s="17" t="n">
        <f aca="false">F93/100*INDEX(Alimentos!$G$5:$G$40,MATCH($C93,Alimentos!$B$5:$B$40,0))</f>
        <v>15.075</v>
      </c>
      <c r="J93" s="17" t="n">
        <f aca="false">F93/100*INDEX(Alimentos!$H$5:$H$40,MATCH($C93,Alimentos!$B$5:$B$40,0))</f>
        <v>2.475</v>
      </c>
    </row>
    <row r="94" customFormat="false" ht="15" hidden="false" customHeight="false" outlineLevel="0" collapsed="false">
      <c r="A94" s="10" t="s">
        <v>249</v>
      </c>
      <c r="B94" s="10" t="s">
        <v>242</v>
      </c>
      <c r="C94" s="10" t="s">
        <v>133</v>
      </c>
      <c r="D94" s="6" t="n">
        <v>2</v>
      </c>
      <c r="E94" s="20" t="s">
        <v>60</v>
      </c>
      <c r="F94" s="14" t="n">
        <f aca="false">D94*IFERROR(VLOOKUP(E94,Perfil!$B$19:$C$24,2,0),1)</f>
        <v>300</v>
      </c>
      <c r="G94" s="17" t="n">
        <f aca="false">F94/100*INDEX(Alimentos!$E$5:$E$40,MATCH($C94,Alimentos!$B$5:$B$40,0))</f>
        <v>261</v>
      </c>
      <c r="H94" s="17" t="n">
        <f aca="false">F94/100*INDEX(Alimentos!$F$5:$F$40,MATCH($C94,Alimentos!$B$5:$B$40,0))</f>
        <v>6.3</v>
      </c>
      <c r="I94" s="17" t="n">
        <f aca="false">F94/100*INDEX(Alimentos!$G$5:$G$40,MATCH($C94,Alimentos!$B$5:$B$40,0))</f>
        <v>0.3</v>
      </c>
      <c r="J94" s="17" t="n">
        <f aca="false">F94/100*INDEX(Alimentos!$H$5:$H$40,MATCH($C94,Alimentos!$B$5:$B$40,0))</f>
        <v>66.9</v>
      </c>
    </row>
    <row r="95" customFormat="false" ht="15" hidden="false" customHeight="false" outlineLevel="0" collapsed="false">
      <c r="A95" s="10" t="s">
        <v>249</v>
      </c>
      <c r="B95" s="10" t="s">
        <v>242</v>
      </c>
      <c r="C95" s="10" t="s">
        <v>167</v>
      </c>
      <c r="D95" s="6" t="n">
        <v>180</v>
      </c>
      <c r="E95" s="20" t="s">
        <v>64</v>
      </c>
      <c r="F95" s="14" t="n">
        <f aca="false">D95*IFERROR(VLOOKUP(E95,Perfil!$B$19:$C$24,2,0),1)</f>
        <v>180</v>
      </c>
      <c r="G95" s="17" t="n">
        <f aca="false">F95/100*INDEX(Alimentos!$E$5:$E$40,MATCH($C95,Alimentos!$B$5:$B$40,0))</f>
        <v>129.6</v>
      </c>
      <c r="H95" s="17" t="n">
        <f aca="false">F95/100*INDEX(Alimentos!$F$5:$F$40,MATCH($C95,Alimentos!$B$5:$B$40,0))</f>
        <v>28.44</v>
      </c>
      <c r="I95" s="17" t="n">
        <f aca="false">F95/100*INDEX(Alimentos!$G$5:$G$40,MATCH($C95,Alimentos!$B$5:$B$40,0))</f>
        <v>0.9</v>
      </c>
      <c r="J95" s="17" t="n">
        <f aca="false">F95/100*INDEX(Alimentos!$H$5:$H$40,MATCH($C95,Alimentos!$B$5:$B$40,0))</f>
        <v>0</v>
      </c>
    </row>
    <row r="96" customFormat="false" ht="15" hidden="false" customHeight="false" outlineLevel="0" collapsed="false">
      <c r="A96" s="10" t="s">
        <v>249</v>
      </c>
      <c r="B96" s="10" t="s">
        <v>242</v>
      </c>
      <c r="C96" s="10" t="s">
        <v>224</v>
      </c>
      <c r="D96" s="6" t="n">
        <v>100</v>
      </c>
      <c r="E96" s="20" t="s">
        <v>64</v>
      </c>
      <c r="F96" s="14" t="n">
        <f aca="false">D96*IFERROR(VLOOKUP(E96,Perfil!$B$19:$C$24,2,0),1)</f>
        <v>100</v>
      </c>
      <c r="G96" s="17" t="n">
        <f aca="false">F96/100*INDEX(Alimentos!$E$5:$E$40,MATCH($C96,Alimentos!$B$5:$B$40,0))</f>
        <v>17</v>
      </c>
      <c r="H96" s="17" t="n">
        <f aca="false">F96/100*INDEX(Alimentos!$F$5:$F$40,MATCH($C96,Alimentos!$B$5:$B$40,0))</f>
        <v>2.2</v>
      </c>
      <c r="I96" s="17" t="n">
        <f aca="false">F96/100*INDEX(Alimentos!$G$5:$G$40,MATCH($C96,Alimentos!$B$5:$B$40,0))</f>
        <v>0.6</v>
      </c>
      <c r="J96" s="17" t="n">
        <f aca="false">F96/100*INDEX(Alimentos!$H$5:$H$40,MATCH($C96,Alimentos!$B$5:$B$40,0))</f>
        <v>4.4</v>
      </c>
    </row>
    <row r="97" customFormat="false" ht="15" hidden="false" customHeight="false" outlineLevel="0" collapsed="false">
      <c r="A97" s="10" t="s">
        <v>249</v>
      </c>
      <c r="B97" s="10" t="s">
        <v>242</v>
      </c>
      <c r="C97" s="10" t="s">
        <v>193</v>
      </c>
      <c r="D97" s="6" t="n">
        <v>60</v>
      </c>
      <c r="E97" s="20" t="s">
        <v>64</v>
      </c>
      <c r="F97" s="14" t="n">
        <f aca="false">D97*IFERROR(VLOOKUP(E97,Perfil!$B$19:$C$24,2,0),1)</f>
        <v>60</v>
      </c>
      <c r="G97" s="17" t="n">
        <f aca="false">F97/100*INDEX(Alimentos!$E$5:$E$40,MATCH($C97,Alimentos!$B$5:$B$40,0))</f>
        <v>4.2</v>
      </c>
      <c r="H97" s="17" t="n">
        <f aca="false">F97/100*INDEX(Alimentos!$F$5:$F$40,MATCH($C97,Alimentos!$B$5:$B$40,0))</f>
        <v>0.36</v>
      </c>
      <c r="I97" s="17" t="n">
        <f aca="false">F97/100*INDEX(Alimentos!$G$5:$G$40,MATCH($C97,Alimentos!$B$5:$B$40,0))</f>
        <v>0.06</v>
      </c>
      <c r="J97" s="17" t="n">
        <f aca="false">F97/100*INDEX(Alimentos!$H$5:$H$40,MATCH($C97,Alimentos!$B$5:$B$40,0))</f>
        <v>1.44</v>
      </c>
    </row>
    <row r="98" customFormat="false" ht="15" hidden="false" customHeight="false" outlineLevel="0" collapsed="false">
      <c r="A98" s="10" t="s">
        <v>249</v>
      </c>
      <c r="B98" s="10" t="s">
        <v>242</v>
      </c>
      <c r="C98" s="10" t="s">
        <v>200</v>
      </c>
      <c r="D98" s="6" t="n">
        <v>40</v>
      </c>
      <c r="E98" s="20" t="s">
        <v>64</v>
      </c>
      <c r="F98" s="14" t="n">
        <f aca="false">D98*IFERROR(VLOOKUP(E98,Perfil!$B$19:$C$24,2,0),1)</f>
        <v>40</v>
      </c>
      <c r="G98" s="17" t="n">
        <f aca="false">F98/100*INDEX(Alimentos!$E$5:$E$40,MATCH($C98,Alimentos!$B$5:$B$40,0))</f>
        <v>7.6</v>
      </c>
      <c r="H98" s="17" t="n">
        <f aca="false">F98/100*INDEX(Alimentos!$F$5:$F$40,MATCH($C98,Alimentos!$B$5:$B$40,0))</f>
        <v>0.4</v>
      </c>
      <c r="I98" s="17" t="n">
        <f aca="false">F98/100*INDEX(Alimentos!$G$5:$G$40,MATCH($C98,Alimentos!$B$5:$B$40,0))</f>
        <v>0.12</v>
      </c>
      <c r="J98" s="17" t="n">
        <f aca="false">F98/100*INDEX(Alimentos!$H$5:$H$40,MATCH($C98,Alimentos!$B$5:$B$40,0))</f>
        <v>3.04</v>
      </c>
    </row>
    <row r="99" customFormat="false" ht="15" hidden="false" customHeight="false" outlineLevel="0" collapsed="false">
      <c r="A99" s="10" t="s">
        <v>249</v>
      </c>
      <c r="B99" s="10" t="s">
        <v>242</v>
      </c>
      <c r="C99" s="10" t="s">
        <v>230</v>
      </c>
      <c r="D99" s="6" t="n">
        <v>1</v>
      </c>
      <c r="E99" s="20" t="s">
        <v>62</v>
      </c>
      <c r="F99" s="14" t="n">
        <f aca="false">D99*IFERROR(VLOOKUP(E99,Perfil!$B$19:$C$24,2,0),1)</f>
        <v>5</v>
      </c>
      <c r="G99" s="17" t="n">
        <f aca="false">F99/100*INDEX(Alimentos!$E$5:$E$40,MATCH($C99,Alimentos!$B$5:$B$40,0))</f>
        <v>44.2</v>
      </c>
      <c r="H99" s="17" t="n">
        <f aca="false">F99/100*INDEX(Alimentos!$F$5:$F$40,MATCH($C99,Alimentos!$B$5:$B$40,0))</f>
        <v>0</v>
      </c>
      <c r="I99" s="17" t="n">
        <f aca="false">F99/100*INDEX(Alimentos!$G$5:$G$40,MATCH($C99,Alimentos!$B$5:$B$40,0))</f>
        <v>5</v>
      </c>
      <c r="J99" s="17" t="n">
        <f aca="false">F99/100*INDEX(Alimentos!$H$5:$H$40,MATCH($C99,Alimentos!$B$5:$B$40,0))</f>
        <v>0</v>
      </c>
    </row>
    <row r="100" customFormat="false" ht="15" hidden="false" customHeight="false" outlineLevel="0" collapsed="false">
      <c r="A100" s="10" t="s">
        <v>249</v>
      </c>
      <c r="B100" s="10" t="s">
        <v>243</v>
      </c>
      <c r="C100" s="10" t="s">
        <v>113</v>
      </c>
      <c r="D100" s="6" t="n">
        <v>2</v>
      </c>
      <c r="E100" s="20" t="s">
        <v>55</v>
      </c>
      <c r="F100" s="14" t="n">
        <f aca="false">D100*IFERROR(VLOOKUP(E100,Perfil!$B$19:$C$24,2,0),1)</f>
        <v>50</v>
      </c>
      <c r="G100" s="17" t="n">
        <f aca="false">F100/100*INDEX(Alimentos!$E$5:$E$40,MATCH($C100,Alimentos!$B$5:$B$40,0))</f>
        <v>158.5</v>
      </c>
      <c r="H100" s="17" t="n">
        <f aca="false">F100/100*INDEX(Alimentos!$F$5:$F$40,MATCH($C100,Alimentos!$B$5:$B$40,0))</f>
        <v>3.4</v>
      </c>
      <c r="I100" s="17" t="n">
        <f aca="false">F100/100*INDEX(Alimentos!$G$5:$G$40,MATCH($C100,Alimentos!$B$5:$B$40,0))</f>
        <v>1.25</v>
      </c>
      <c r="J100" s="17" t="n">
        <f aca="false">F100/100*INDEX(Alimentos!$H$5:$H$40,MATCH($C100,Alimentos!$B$5:$B$40,0))</f>
        <v>34.6</v>
      </c>
    </row>
    <row r="101" customFormat="false" ht="15" hidden="false" customHeight="false" outlineLevel="0" collapsed="false">
      <c r="A101" s="10" t="s">
        <v>249</v>
      </c>
      <c r="B101" s="10" t="s">
        <v>243</v>
      </c>
      <c r="C101" s="10" t="s">
        <v>121</v>
      </c>
      <c r="D101" s="6" t="n">
        <v>2</v>
      </c>
      <c r="E101" s="20" t="s">
        <v>56</v>
      </c>
      <c r="F101" s="14" t="n">
        <f aca="false">D101*IFERROR(VLOOKUP(E101,Perfil!$B$19:$C$24,2,0),1)</f>
        <v>50</v>
      </c>
      <c r="G101" s="17" t="n">
        <f aca="false">F101/100*INDEX(Alimentos!$E$5:$E$40,MATCH($C101,Alimentos!$B$5:$B$40,0))</f>
        <v>166.5</v>
      </c>
      <c r="H101" s="17" t="n">
        <f aca="false">F101/100*INDEX(Alimentos!$F$5:$F$40,MATCH($C101,Alimentos!$B$5:$B$40,0))</f>
        <v>6.65</v>
      </c>
      <c r="I101" s="17" t="n">
        <f aca="false">F101/100*INDEX(Alimentos!$G$5:$G$40,MATCH($C101,Alimentos!$B$5:$B$40,0))</f>
        <v>2</v>
      </c>
      <c r="J101" s="17" t="n">
        <f aca="false">F101/100*INDEX(Alimentos!$H$5:$H$40,MATCH($C101,Alimentos!$B$5:$B$40,0))</f>
        <v>36.1</v>
      </c>
    </row>
    <row r="102" customFormat="false" ht="15" hidden="false" customHeight="false" outlineLevel="0" collapsed="false">
      <c r="A102" s="10" t="s">
        <v>249</v>
      </c>
      <c r="B102" s="10" t="s">
        <v>243</v>
      </c>
      <c r="C102" s="10" t="s">
        <v>186</v>
      </c>
      <c r="D102" s="6" t="n">
        <v>75</v>
      </c>
      <c r="E102" s="20" t="s">
        <v>64</v>
      </c>
      <c r="F102" s="14" t="n">
        <f aca="false">D102*IFERROR(VLOOKUP(E102,Perfil!$B$19:$C$24,2,0),1)</f>
        <v>75</v>
      </c>
      <c r="G102" s="17" t="n">
        <f aca="false">F102/100*INDEX(Alimentos!$E$5:$E$40,MATCH($C102,Alimentos!$B$5:$B$40,0))</f>
        <v>198</v>
      </c>
      <c r="H102" s="17" t="n">
        <f aca="false">F102/100*INDEX(Alimentos!$F$5:$F$40,MATCH($C102,Alimentos!$B$5:$B$40,0))</f>
        <v>13.125</v>
      </c>
      <c r="I102" s="17" t="n">
        <f aca="false">F102/100*INDEX(Alimentos!$G$5:$G$40,MATCH($C102,Alimentos!$B$5:$B$40,0))</f>
        <v>15.075</v>
      </c>
      <c r="J102" s="17" t="n">
        <f aca="false">F102/100*INDEX(Alimentos!$H$5:$H$40,MATCH($C102,Alimentos!$B$5:$B$40,0))</f>
        <v>2.475</v>
      </c>
    </row>
    <row r="103" customFormat="false" ht="15" hidden="false" customHeight="false" outlineLevel="0" collapsed="false">
      <c r="A103" s="10" t="s">
        <v>249</v>
      </c>
      <c r="B103" s="10" t="s">
        <v>244</v>
      </c>
      <c r="C103" s="10" t="s">
        <v>128</v>
      </c>
      <c r="D103" s="6" t="n">
        <v>3</v>
      </c>
      <c r="E103" s="20" t="s">
        <v>58</v>
      </c>
      <c r="F103" s="14" t="n">
        <f aca="false">D103*IFERROR(VLOOKUP(E103,Perfil!$B$19:$C$24,2,0),1)</f>
        <v>210</v>
      </c>
      <c r="G103" s="17" t="n">
        <f aca="false">F103/100*INDEX(Alimentos!$E$5:$E$40,MATCH($C103,Alimentos!$B$5:$B$40,0))</f>
        <v>241.5</v>
      </c>
      <c r="H103" s="17" t="n">
        <f aca="false">F103/100*INDEX(Alimentos!$F$5:$F$40,MATCH($C103,Alimentos!$B$5:$B$40,0))</f>
        <v>5.04</v>
      </c>
      <c r="I103" s="17" t="n">
        <f aca="false">F103/100*INDEX(Alimentos!$G$5:$G$40,MATCH($C103,Alimentos!$B$5:$B$40,0))</f>
        <v>0.21</v>
      </c>
      <c r="J103" s="17" t="n">
        <f aca="false">F103/100*INDEX(Alimentos!$H$5:$H$40,MATCH($C103,Alimentos!$B$5:$B$40,0))</f>
        <v>52.92</v>
      </c>
    </row>
    <row r="104" customFormat="false" ht="15" hidden="false" customHeight="false" outlineLevel="0" collapsed="false">
      <c r="A104" s="10" t="s">
        <v>249</v>
      </c>
      <c r="B104" s="10" t="s">
        <v>244</v>
      </c>
      <c r="C104" s="10" t="s">
        <v>148</v>
      </c>
      <c r="D104" s="6" t="n">
        <v>150</v>
      </c>
      <c r="E104" s="20" t="s">
        <v>64</v>
      </c>
      <c r="F104" s="14" t="n">
        <f aca="false">D104*IFERROR(VLOOKUP(E104,Perfil!$B$19:$C$24,2,0),1)</f>
        <v>150</v>
      </c>
      <c r="G104" s="17" t="n">
        <f aca="false">F104/100*INDEX(Alimentos!$E$5:$E$40,MATCH($C104,Alimentos!$B$5:$B$40,0))</f>
        <v>162</v>
      </c>
      <c r="H104" s="17" t="n">
        <f aca="false">F104/100*INDEX(Alimentos!$F$5:$F$40,MATCH($C104,Alimentos!$B$5:$B$40,0))</f>
        <v>28.8</v>
      </c>
      <c r="I104" s="17" t="n">
        <f aca="false">F104/100*INDEX(Alimentos!$G$5:$G$40,MATCH($C104,Alimentos!$B$5:$B$40,0))</f>
        <v>4.35</v>
      </c>
      <c r="J104" s="17" t="n">
        <f aca="false">F104/100*INDEX(Alimentos!$H$5:$H$40,MATCH($C104,Alimentos!$B$5:$B$40,0))</f>
        <v>0</v>
      </c>
    </row>
    <row r="105" customFormat="false" ht="15" hidden="false" customHeight="false" outlineLevel="0" collapsed="false">
      <c r="A105" s="10" t="s">
        <v>249</v>
      </c>
      <c r="B105" s="10" t="s">
        <v>244</v>
      </c>
      <c r="C105" s="10" t="s">
        <v>203</v>
      </c>
      <c r="D105" s="6" t="n">
        <v>100</v>
      </c>
      <c r="E105" s="20" t="s">
        <v>64</v>
      </c>
      <c r="F105" s="14" t="n">
        <f aca="false">D105*IFERROR(VLOOKUP(E105,Perfil!$B$19:$C$24,2,0),1)</f>
        <v>100</v>
      </c>
      <c r="G105" s="17" t="n">
        <f aca="false">F105/100*INDEX(Alimentos!$E$5:$E$40,MATCH($C105,Alimentos!$B$5:$B$40,0))</f>
        <v>32</v>
      </c>
      <c r="H105" s="17" t="n">
        <f aca="false">F105/100*INDEX(Alimentos!$F$5:$F$40,MATCH($C105,Alimentos!$B$5:$B$40,0))</f>
        <v>3.9</v>
      </c>
      <c r="I105" s="17" t="n">
        <f aca="false">F105/100*INDEX(Alimentos!$G$5:$G$40,MATCH($C105,Alimentos!$B$5:$B$40,0))</f>
        <v>1.3</v>
      </c>
      <c r="J105" s="17" t="n">
        <f aca="false">F105/100*INDEX(Alimentos!$H$5:$H$40,MATCH($C105,Alimentos!$B$5:$B$40,0))</f>
        <v>4</v>
      </c>
    </row>
    <row r="106" customFormat="false" ht="15" hidden="false" customHeight="false" outlineLevel="0" collapsed="false">
      <c r="A106" s="10" t="s">
        <v>249</v>
      </c>
      <c r="B106" s="10" t="s">
        <v>244</v>
      </c>
      <c r="C106" s="10" t="s">
        <v>200</v>
      </c>
      <c r="D106" s="6" t="n">
        <v>50</v>
      </c>
      <c r="E106" s="20" t="s">
        <v>64</v>
      </c>
      <c r="F106" s="14" t="n">
        <f aca="false">D106*IFERROR(VLOOKUP(E106,Perfil!$B$19:$C$24,2,0),1)</f>
        <v>50</v>
      </c>
      <c r="G106" s="17" t="n">
        <f aca="false">F106/100*INDEX(Alimentos!$E$5:$E$40,MATCH($C106,Alimentos!$B$5:$B$40,0))</f>
        <v>9.5</v>
      </c>
      <c r="H106" s="17" t="n">
        <f aca="false">F106/100*INDEX(Alimentos!$F$5:$F$40,MATCH($C106,Alimentos!$B$5:$B$40,0))</f>
        <v>0.5</v>
      </c>
      <c r="I106" s="17" t="n">
        <f aca="false">F106/100*INDEX(Alimentos!$G$5:$G$40,MATCH($C106,Alimentos!$B$5:$B$40,0))</f>
        <v>0.15</v>
      </c>
      <c r="J106" s="17" t="n">
        <f aca="false">F106/100*INDEX(Alimentos!$H$5:$H$40,MATCH($C106,Alimentos!$B$5:$B$40,0))</f>
        <v>3.8</v>
      </c>
    </row>
    <row r="107" customFormat="false" ht="15" hidden="false" customHeight="false" outlineLevel="0" collapsed="false">
      <c r="A107" s="10" t="s">
        <v>249</v>
      </c>
      <c r="B107" s="10" t="s">
        <v>244</v>
      </c>
      <c r="C107" s="10" t="s">
        <v>207</v>
      </c>
      <c r="D107" s="6" t="n">
        <v>50</v>
      </c>
      <c r="E107" s="20" t="s">
        <v>64</v>
      </c>
      <c r="F107" s="14" t="n">
        <f aca="false">D107*IFERROR(VLOOKUP(E107,Perfil!$B$19:$C$24,2,0),1)</f>
        <v>50</v>
      </c>
      <c r="G107" s="17" t="n">
        <f aca="false">F107/100*INDEX(Alimentos!$E$5:$E$40,MATCH($C107,Alimentos!$B$5:$B$40,0))</f>
        <v>13.5</v>
      </c>
      <c r="H107" s="17" t="n">
        <f aca="false">F107/100*INDEX(Alimentos!$F$5:$F$40,MATCH($C107,Alimentos!$B$5:$B$40,0))</f>
        <v>0.6</v>
      </c>
      <c r="I107" s="17" t="n">
        <f aca="false">F107/100*INDEX(Alimentos!$G$5:$G$40,MATCH($C107,Alimentos!$B$5:$B$40,0))</f>
        <v>0.65</v>
      </c>
      <c r="J107" s="17" t="n">
        <f aca="false">F107/100*INDEX(Alimentos!$H$5:$H$40,MATCH($C107,Alimentos!$B$5:$B$40,0))</f>
        <v>2.3</v>
      </c>
    </row>
    <row r="108" customFormat="false" ht="15" hidden="false" customHeight="false" outlineLevel="0" collapsed="false">
      <c r="A108" s="10" t="s">
        <v>250</v>
      </c>
      <c r="B108" s="10" t="s">
        <v>241</v>
      </c>
      <c r="C108" s="10" t="s">
        <v>113</v>
      </c>
      <c r="D108" s="6" t="n">
        <v>3</v>
      </c>
      <c r="E108" s="20" t="s">
        <v>55</v>
      </c>
      <c r="F108" s="14" t="n">
        <f aca="false">D108*IFERROR(VLOOKUP(E108,Perfil!$B$19:$C$24,2,0),1)</f>
        <v>75</v>
      </c>
      <c r="G108" s="17" t="n">
        <f aca="false">F108/100*INDEX(Alimentos!$E$5:$E$40,MATCH($C108,Alimentos!$B$5:$B$40,0))</f>
        <v>237.75</v>
      </c>
      <c r="H108" s="17" t="n">
        <f aca="false">F108/100*INDEX(Alimentos!$F$5:$F$40,MATCH($C108,Alimentos!$B$5:$B$40,0))</f>
        <v>5.1</v>
      </c>
      <c r="I108" s="17" t="n">
        <f aca="false">F108/100*INDEX(Alimentos!$G$5:$G$40,MATCH($C108,Alimentos!$B$5:$B$40,0))</f>
        <v>1.875</v>
      </c>
      <c r="J108" s="17" t="n">
        <f aca="false">F108/100*INDEX(Alimentos!$H$5:$H$40,MATCH($C108,Alimentos!$B$5:$B$40,0))</f>
        <v>51.9</v>
      </c>
    </row>
    <row r="109" customFormat="false" ht="15" hidden="false" customHeight="false" outlineLevel="0" collapsed="false">
      <c r="A109" s="10" t="s">
        <v>250</v>
      </c>
      <c r="B109" s="10" t="s">
        <v>241</v>
      </c>
      <c r="C109" s="10" t="s">
        <v>121</v>
      </c>
      <c r="D109" s="6" t="n">
        <v>1</v>
      </c>
      <c r="E109" s="20" t="s">
        <v>56</v>
      </c>
      <c r="F109" s="14" t="n">
        <f aca="false">D109*IFERROR(VLOOKUP(E109,Perfil!$B$19:$C$24,2,0),1)</f>
        <v>25</v>
      </c>
      <c r="G109" s="17" t="n">
        <f aca="false">F109/100*INDEX(Alimentos!$E$5:$E$40,MATCH($C109,Alimentos!$B$5:$B$40,0))</f>
        <v>83.25</v>
      </c>
      <c r="H109" s="17" t="n">
        <f aca="false">F109/100*INDEX(Alimentos!$F$5:$F$40,MATCH($C109,Alimentos!$B$5:$B$40,0))</f>
        <v>3.325</v>
      </c>
      <c r="I109" s="17" t="n">
        <f aca="false">F109/100*INDEX(Alimentos!$G$5:$G$40,MATCH($C109,Alimentos!$B$5:$B$40,0))</f>
        <v>1</v>
      </c>
      <c r="J109" s="17" t="n">
        <f aca="false">F109/100*INDEX(Alimentos!$H$5:$H$40,MATCH($C109,Alimentos!$B$5:$B$40,0))</f>
        <v>18.05</v>
      </c>
    </row>
    <row r="110" customFormat="false" ht="15" hidden="false" customHeight="false" outlineLevel="0" collapsed="false">
      <c r="A110" s="10" t="s">
        <v>250</v>
      </c>
      <c r="B110" s="10" t="s">
        <v>241</v>
      </c>
      <c r="C110" s="10" t="s">
        <v>190</v>
      </c>
      <c r="D110" s="6" t="n">
        <v>45</v>
      </c>
      <c r="E110" s="20" t="s">
        <v>64</v>
      </c>
      <c r="F110" s="14" t="n">
        <f aca="false">D110*IFERROR(VLOOKUP(E110,Perfil!$B$19:$C$24,2,0),1)</f>
        <v>45</v>
      </c>
      <c r="G110" s="17" t="n">
        <f aca="false">F110/100*INDEX(Alimentos!$E$5:$E$40,MATCH($C110,Alimentos!$B$5:$B$40,0))</f>
        <v>58.5</v>
      </c>
      <c r="H110" s="17" t="n">
        <f aca="false">F110/100*INDEX(Alimentos!$F$5:$F$40,MATCH($C110,Alimentos!$B$5:$B$40,0))</f>
        <v>0.765</v>
      </c>
      <c r="I110" s="17" t="n">
        <f aca="false">F110/100*INDEX(Alimentos!$G$5:$G$40,MATCH($C110,Alimentos!$B$5:$B$40,0))</f>
        <v>5.625</v>
      </c>
      <c r="J110" s="17" t="n">
        <f aca="false">F110/100*INDEX(Alimentos!$H$5:$H$40,MATCH($C110,Alimentos!$B$5:$B$40,0))</f>
        <v>2.52</v>
      </c>
    </row>
    <row r="111" customFormat="false" ht="15" hidden="false" customHeight="false" outlineLevel="0" collapsed="false">
      <c r="A111" s="10" t="s">
        <v>250</v>
      </c>
      <c r="B111" s="10" t="s">
        <v>242</v>
      </c>
      <c r="C111" s="10" t="s">
        <v>128</v>
      </c>
      <c r="D111" s="6" t="n">
        <v>3</v>
      </c>
      <c r="E111" s="20" t="s">
        <v>58</v>
      </c>
      <c r="F111" s="14" t="n">
        <f aca="false">D111*IFERROR(VLOOKUP(E111,Perfil!$B$19:$C$24,2,0),1)</f>
        <v>210</v>
      </c>
      <c r="G111" s="17" t="n">
        <f aca="false">F111/100*INDEX(Alimentos!$E$5:$E$40,MATCH($C111,Alimentos!$B$5:$B$40,0))</f>
        <v>241.5</v>
      </c>
      <c r="H111" s="17" t="n">
        <f aca="false">F111/100*INDEX(Alimentos!$F$5:$F$40,MATCH($C111,Alimentos!$B$5:$B$40,0))</f>
        <v>5.04</v>
      </c>
      <c r="I111" s="17" t="n">
        <f aca="false">F111/100*INDEX(Alimentos!$G$5:$G$40,MATCH($C111,Alimentos!$B$5:$B$40,0))</f>
        <v>0.21</v>
      </c>
      <c r="J111" s="17" t="n">
        <f aca="false">F111/100*INDEX(Alimentos!$H$5:$H$40,MATCH($C111,Alimentos!$B$5:$B$40,0))</f>
        <v>52.92</v>
      </c>
    </row>
    <row r="112" customFormat="false" ht="15" hidden="false" customHeight="false" outlineLevel="0" collapsed="false">
      <c r="A112" s="10" t="s">
        <v>250</v>
      </c>
      <c r="B112" s="10" t="s">
        <v>242</v>
      </c>
      <c r="C112" s="10" t="s">
        <v>164</v>
      </c>
      <c r="D112" s="6" t="n">
        <v>130</v>
      </c>
      <c r="E112" s="20" t="s">
        <v>64</v>
      </c>
      <c r="F112" s="14" t="n">
        <f aca="false">D112*IFERROR(VLOOKUP(E112,Perfil!$B$19:$C$24,2,0),1)</f>
        <v>130</v>
      </c>
      <c r="G112" s="17" t="n">
        <f aca="false">F112/100*INDEX(Alimentos!$E$5:$E$40,MATCH($C112,Alimentos!$B$5:$B$40,0))</f>
        <v>179.4</v>
      </c>
      <c r="H112" s="17" t="n">
        <f aca="false">F112/100*INDEX(Alimentos!$F$5:$F$40,MATCH($C112,Alimentos!$B$5:$B$40,0))</f>
        <v>30.42</v>
      </c>
      <c r="I112" s="17" t="n">
        <f aca="false">F112/100*INDEX(Alimentos!$G$5:$G$40,MATCH($C112,Alimentos!$B$5:$B$40,0))</f>
        <v>5.46</v>
      </c>
      <c r="J112" s="17" t="n">
        <f aca="false">F112/100*INDEX(Alimentos!$H$5:$H$40,MATCH($C112,Alimentos!$B$5:$B$40,0))</f>
        <v>0</v>
      </c>
    </row>
    <row r="113" customFormat="false" ht="15" hidden="false" customHeight="false" outlineLevel="0" collapsed="false">
      <c r="A113" s="10" t="s">
        <v>250</v>
      </c>
      <c r="B113" s="10" t="s">
        <v>242</v>
      </c>
      <c r="C113" s="10" t="s">
        <v>210</v>
      </c>
      <c r="D113" s="6" t="n">
        <v>80</v>
      </c>
      <c r="E113" s="20" t="s">
        <v>64</v>
      </c>
      <c r="F113" s="14" t="n">
        <f aca="false">D113*IFERROR(VLOOKUP(E113,Perfil!$B$19:$C$24,2,0),1)</f>
        <v>80</v>
      </c>
      <c r="G113" s="17" t="n">
        <f aca="false">F113/100*INDEX(Alimentos!$E$5:$E$40,MATCH($C113,Alimentos!$B$5:$B$40,0))</f>
        <v>12</v>
      </c>
      <c r="H113" s="17" t="n">
        <f aca="false">F113/100*INDEX(Alimentos!$F$5:$F$40,MATCH($C113,Alimentos!$B$5:$B$40,0))</f>
        <v>1.2</v>
      </c>
      <c r="I113" s="17" t="n">
        <f aca="false">F113/100*INDEX(Alimentos!$G$5:$G$40,MATCH($C113,Alimentos!$B$5:$B$40,0))</f>
        <v>0.24</v>
      </c>
      <c r="J113" s="17" t="n">
        <f aca="false">F113/100*INDEX(Alimentos!$H$5:$H$40,MATCH($C113,Alimentos!$B$5:$B$40,0))</f>
        <v>3.92</v>
      </c>
    </row>
    <row r="114" customFormat="false" ht="15" hidden="false" customHeight="false" outlineLevel="0" collapsed="false">
      <c r="A114" s="10" t="s">
        <v>250</v>
      </c>
      <c r="B114" s="10" t="s">
        <v>242</v>
      </c>
      <c r="C114" s="10" t="s">
        <v>213</v>
      </c>
      <c r="D114" s="6" t="n">
        <v>50</v>
      </c>
      <c r="E114" s="20" t="s">
        <v>64</v>
      </c>
      <c r="F114" s="14" t="n">
        <f aca="false">D114*IFERROR(VLOOKUP(E114,Perfil!$B$19:$C$24,2,0),1)</f>
        <v>50</v>
      </c>
      <c r="G114" s="17" t="n">
        <f aca="false">F114/100*INDEX(Alimentos!$E$5:$E$40,MATCH($C114,Alimentos!$B$5:$B$40,0))</f>
        <v>9</v>
      </c>
      <c r="H114" s="17" t="n">
        <f aca="false">F114/100*INDEX(Alimentos!$F$5:$F$40,MATCH($C114,Alimentos!$B$5:$B$40,0))</f>
        <v>1</v>
      </c>
      <c r="I114" s="17" t="n">
        <f aca="false">F114/100*INDEX(Alimentos!$G$5:$G$40,MATCH($C114,Alimentos!$B$5:$B$40,0))</f>
        <v>0.15</v>
      </c>
      <c r="J114" s="17" t="n">
        <f aca="false">F114/100*INDEX(Alimentos!$H$5:$H$40,MATCH($C114,Alimentos!$B$5:$B$40,0))</f>
        <v>2.7</v>
      </c>
    </row>
    <row r="115" customFormat="false" ht="15" hidden="false" customHeight="false" outlineLevel="0" collapsed="false">
      <c r="A115" s="10" t="s">
        <v>250</v>
      </c>
      <c r="B115" s="10" t="s">
        <v>242</v>
      </c>
      <c r="C115" s="10" t="s">
        <v>197</v>
      </c>
      <c r="D115" s="6" t="n">
        <v>70</v>
      </c>
      <c r="E115" s="20" t="s">
        <v>64</v>
      </c>
      <c r="F115" s="14" t="n">
        <f aca="false">D115*IFERROR(VLOOKUP(E115,Perfil!$B$19:$C$24,2,0),1)</f>
        <v>70</v>
      </c>
      <c r="G115" s="17" t="n">
        <f aca="false">F115/100*INDEX(Alimentos!$E$5:$E$40,MATCH($C115,Alimentos!$B$5:$B$40,0))</f>
        <v>10.5</v>
      </c>
      <c r="H115" s="17" t="n">
        <f aca="false">F115/100*INDEX(Alimentos!$F$5:$F$40,MATCH($C115,Alimentos!$B$5:$B$40,0))</f>
        <v>0.56</v>
      </c>
      <c r="I115" s="17" t="n">
        <f aca="false">F115/100*INDEX(Alimentos!$G$5:$G$40,MATCH($C115,Alimentos!$B$5:$B$40,0))</f>
        <v>0.14</v>
      </c>
      <c r="J115" s="17" t="n">
        <f aca="false">F115/100*INDEX(Alimentos!$H$5:$H$40,MATCH($C115,Alimentos!$B$5:$B$40,0))</f>
        <v>3.01</v>
      </c>
    </row>
    <row r="116" customFormat="false" ht="15" hidden="false" customHeight="false" outlineLevel="0" collapsed="false">
      <c r="A116" s="10" t="s">
        <v>250</v>
      </c>
      <c r="B116" s="10" t="s">
        <v>242</v>
      </c>
      <c r="C116" s="10" t="s">
        <v>230</v>
      </c>
      <c r="D116" s="6" t="n">
        <v>1</v>
      </c>
      <c r="E116" s="20" t="s">
        <v>62</v>
      </c>
      <c r="F116" s="14" t="n">
        <f aca="false">D116*IFERROR(VLOOKUP(E116,Perfil!$B$19:$C$24,2,0),1)</f>
        <v>5</v>
      </c>
      <c r="G116" s="17" t="n">
        <f aca="false">F116/100*INDEX(Alimentos!$E$5:$E$40,MATCH($C116,Alimentos!$B$5:$B$40,0))</f>
        <v>44.2</v>
      </c>
      <c r="H116" s="17" t="n">
        <f aca="false">F116/100*INDEX(Alimentos!$F$5:$F$40,MATCH($C116,Alimentos!$B$5:$B$40,0))</f>
        <v>0</v>
      </c>
      <c r="I116" s="17" t="n">
        <f aca="false">F116/100*INDEX(Alimentos!$G$5:$G$40,MATCH($C116,Alimentos!$B$5:$B$40,0))</f>
        <v>5</v>
      </c>
      <c r="J116" s="17" t="n">
        <f aca="false">F116/100*INDEX(Alimentos!$H$5:$H$40,MATCH($C116,Alimentos!$B$5:$B$40,0))</f>
        <v>0</v>
      </c>
    </row>
    <row r="117" customFormat="false" ht="15" hidden="false" customHeight="false" outlineLevel="0" collapsed="false">
      <c r="A117" s="10" t="s">
        <v>250</v>
      </c>
      <c r="B117" s="10" t="s">
        <v>243</v>
      </c>
      <c r="C117" s="10" t="s">
        <v>113</v>
      </c>
      <c r="D117" s="6" t="n">
        <v>2</v>
      </c>
      <c r="E117" s="20" t="s">
        <v>55</v>
      </c>
      <c r="F117" s="14" t="n">
        <f aca="false">D117*IFERROR(VLOOKUP(E117,Perfil!$B$19:$C$24,2,0),1)</f>
        <v>50</v>
      </c>
      <c r="G117" s="17" t="n">
        <f aca="false">F117/100*INDEX(Alimentos!$E$5:$E$40,MATCH($C117,Alimentos!$B$5:$B$40,0))</f>
        <v>158.5</v>
      </c>
      <c r="H117" s="17" t="n">
        <f aca="false">F117/100*INDEX(Alimentos!$F$5:$F$40,MATCH($C117,Alimentos!$B$5:$B$40,0))</f>
        <v>3.4</v>
      </c>
      <c r="I117" s="17" t="n">
        <f aca="false">F117/100*INDEX(Alimentos!$G$5:$G$40,MATCH($C117,Alimentos!$B$5:$B$40,0))</f>
        <v>1.25</v>
      </c>
      <c r="J117" s="17" t="n">
        <f aca="false">F117/100*INDEX(Alimentos!$H$5:$H$40,MATCH($C117,Alimentos!$B$5:$B$40,0))</f>
        <v>34.6</v>
      </c>
    </row>
    <row r="118" customFormat="false" ht="15" hidden="false" customHeight="false" outlineLevel="0" collapsed="false">
      <c r="A118" s="10" t="s">
        <v>250</v>
      </c>
      <c r="B118" s="10" t="s">
        <v>243</v>
      </c>
      <c r="C118" s="10" t="s">
        <v>121</v>
      </c>
      <c r="D118" s="6" t="n">
        <v>2</v>
      </c>
      <c r="E118" s="20" t="s">
        <v>56</v>
      </c>
      <c r="F118" s="14" t="n">
        <f aca="false">D118*IFERROR(VLOOKUP(E118,Perfil!$B$19:$C$24,2,0),1)</f>
        <v>50</v>
      </c>
      <c r="G118" s="17" t="n">
        <f aca="false">F118/100*INDEX(Alimentos!$E$5:$E$40,MATCH($C118,Alimentos!$B$5:$B$40,0))</f>
        <v>166.5</v>
      </c>
      <c r="H118" s="17" t="n">
        <f aca="false">F118/100*INDEX(Alimentos!$F$5:$F$40,MATCH($C118,Alimentos!$B$5:$B$40,0))</f>
        <v>6.65</v>
      </c>
      <c r="I118" s="17" t="n">
        <f aca="false">F118/100*INDEX(Alimentos!$G$5:$G$40,MATCH($C118,Alimentos!$B$5:$B$40,0))</f>
        <v>2</v>
      </c>
      <c r="J118" s="17" t="n">
        <f aca="false">F118/100*INDEX(Alimentos!$H$5:$H$40,MATCH($C118,Alimentos!$B$5:$B$40,0))</f>
        <v>36.1</v>
      </c>
    </row>
    <row r="119" customFormat="false" ht="15" hidden="false" customHeight="false" outlineLevel="0" collapsed="false">
      <c r="A119" s="10" t="s">
        <v>250</v>
      </c>
      <c r="B119" s="10" t="s">
        <v>243</v>
      </c>
      <c r="C119" s="10" t="s">
        <v>190</v>
      </c>
      <c r="D119" s="6" t="n">
        <v>45</v>
      </c>
      <c r="E119" s="20" t="s">
        <v>64</v>
      </c>
      <c r="F119" s="14" t="n">
        <f aca="false">D119*IFERROR(VLOOKUP(E119,Perfil!$B$19:$C$24,2,0),1)</f>
        <v>45</v>
      </c>
      <c r="G119" s="17" t="n">
        <f aca="false">F119/100*INDEX(Alimentos!$E$5:$E$40,MATCH($C119,Alimentos!$B$5:$B$40,0))</f>
        <v>58.5</v>
      </c>
      <c r="H119" s="17" t="n">
        <f aca="false">F119/100*INDEX(Alimentos!$F$5:$F$40,MATCH($C119,Alimentos!$B$5:$B$40,0))</f>
        <v>0.765</v>
      </c>
      <c r="I119" s="17" t="n">
        <f aca="false">F119/100*INDEX(Alimentos!$G$5:$G$40,MATCH($C119,Alimentos!$B$5:$B$40,0))</f>
        <v>5.625</v>
      </c>
      <c r="J119" s="17" t="n">
        <f aca="false">F119/100*INDEX(Alimentos!$H$5:$H$40,MATCH($C119,Alimentos!$B$5:$B$40,0))</f>
        <v>2.52</v>
      </c>
    </row>
    <row r="120" customFormat="false" ht="15" hidden="false" customHeight="false" outlineLevel="0" collapsed="false">
      <c r="A120" s="10" t="s">
        <v>250</v>
      </c>
      <c r="B120" s="10" t="s">
        <v>244</v>
      </c>
      <c r="C120" s="10" t="s">
        <v>142</v>
      </c>
      <c r="D120" s="6" t="n">
        <v>250</v>
      </c>
      <c r="E120" s="20" t="s">
        <v>64</v>
      </c>
      <c r="F120" s="14" t="n">
        <f aca="false">D120*IFERROR(VLOOKUP(E120,Perfil!$B$19:$C$24,2,0),1)</f>
        <v>250</v>
      </c>
      <c r="G120" s="17" t="n">
        <f aca="false">F120/100*INDEX(Alimentos!$E$5:$E$40,MATCH($C120,Alimentos!$B$5:$B$40,0))</f>
        <v>225</v>
      </c>
      <c r="H120" s="17" t="n">
        <f aca="false">F120/100*INDEX(Alimentos!$F$5:$F$40,MATCH($C120,Alimentos!$B$5:$B$40,0))</f>
        <v>7.75</v>
      </c>
      <c r="I120" s="17" t="n">
        <f aca="false">F120/100*INDEX(Alimentos!$G$5:$G$40,MATCH($C120,Alimentos!$B$5:$B$40,0))</f>
        <v>0</v>
      </c>
      <c r="J120" s="17" t="n">
        <f aca="false">F120/100*INDEX(Alimentos!$H$5:$H$40,MATCH($C120,Alimentos!$B$5:$B$40,0))</f>
        <v>53.25</v>
      </c>
    </row>
    <row r="121" customFormat="false" ht="15" hidden="false" customHeight="false" outlineLevel="0" collapsed="false">
      <c r="A121" s="10" t="s">
        <v>250</v>
      </c>
      <c r="B121" s="10" t="s">
        <v>244</v>
      </c>
      <c r="C121" s="10" t="s">
        <v>170</v>
      </c>
      <c r="D121" s="6" t="n">
        <v>120</v>
      </c>
      <c r="E121" s="20" t="s">
        <v>64</v>
      </c>
      <c r="F121" s="14" t="n">
        <f aca="false">D121*IFERROR(VLOOKUP(E121,Perfil!$B$19:$C$24,2,0),1)</f>
        <v>120</v>
      </c>
      <c r="G121" s="17" t="n">
        <f aca="false">F121/100*INDEX(Alimentos!$E$5:$E$40,MATCH($C121,Alimentos!$B$5:$B$40,0))</f>
        <v>139.2</v>
      </c>
      <c r="H121" s="17" t="n">
        <f aca="false">F121/100*INDEX(Alimentos!$F$5:$F$40,MATCH($C121,Alimentos!$B$5:$B$40,0))</f>
        <v>30.6</v>
      </c>
      <c r="I121" s="17" t="n">
        <f aca="false">F121/100*INDEX(Alimentos!$G$5:$G$40,MATCH($C121,Alimentos!$B$5:$B$40,0))</f>
        <v>0.96</v>
      </c>
      <c r="J121" s="17" t="n">
        <f aca="false">F121/100*INDEX(Alimentos!$H$5:$H$40,MATCH($C121,Alimentos!$B$5:$B$40,0))</f>
        <v>0</v>
      </c>
    </row>
    <row r="122" customFormat="false" ht="15" hidden="false" customHeight="false" outlineLevel="0" collapsed="false">
      <c r="A122" s="10" t="s">
        <v>250</v>
      </c>
      <c r="B122" s="10" t="s">
        <v>244</v>
      </c>
      <c r="C122" s="10" t="s">
        <v>217</v>
      </c>
      <c r="D122" s="6" t="n">
        <v>60</v>
      </c>
      <c r="E122" s="20" t="s">
        <v>64</v>
      </c>
      <c r="F122" s="14" t="n">
        <f aca="false">D122*IFERROR(VLOOKUP(E122,Perfil!$B$19:$C$24,2,0),1)</f>
        <v>60</v>
      </c>
      <c r="G122" s="17" t="n">
        <f aca="false">F122/100*INDEX(Alimentos!$E$5:$E$40,MATCH($C122,Alimentos!$B$5:$B$40,0))</f>
        <v>14.4</v>
      </c>
      <c r="H122" s="17" t="n">
        <f aca="false">F122/100*INDEX(Alimentos!$F$5:$F$40,MATCH($C122,Alimentos!$B$5:$B$40,0))</f>
        <v>1.14</v>
      </c>
      <c r="I122" s="17" t="n">
        <f aca="false">F122/100*INDEX(Alimentos!$G$5:$G$40,MATCH($C122,Alimentos!$B$5:$B$40,0))</f>
        <v>0.36</v>
      </c>
      <c r="J122" s="17" t="n">
        <f aca="false">F122/100*INDEX(Alimentos!$H$5:$H$40,MATCH($C122,Alimentos!$B$5:$B$40,0))</f>
        <v>3.78</v>
      </c>
    </row>
    <row r="123" customFormat="false" ht="15" hidden="false" customHeight="false" outlineLevel="0" collapsed="false">
      <c r="A123" s="10" t="s">
        <v>250</v>
      </c>
      <c r="B123" s="10" t="s">
        <v>244</v>
      </c>
      <c r="C123" s="10" t="s">
        <v>197</v>
      </c>
      <c r="D123" s="6" t="n">
        <v>70</v>
      </c>
      <c r="E123" s="20" t="s">
        <v>64</v>
      </c>
      <c r="F123" s="14" t="n">
        <f aca="false">D123*IFERROR(VLOOKUP(E123,Perfil!$B$19:$C$24,2,0),1)</f>
        <v>70</v>
      </c>
      <c r="G123" s="17" t="n">
        <f aca="false">F123/100*INDEX(Alimentos!$E$5:$E$40,MATCH($C123,Alimentos!$B$5:$B$40,0))</f>
        <v>10.5</v>
      </c>
      <c r="H123" s="17" t="n">
        <f aca="false">F123/100*INDEX(Alimentos!$F$5:$F$40,MATCH($C123,Alimentos!$B$5:$B$40,0))</f>
        <v>0.56</v>
      </c>
      <c r="I123" s="17" t="n">
        <f aca="false">F123/100*INDEX(Alimentos!$G$5:$G$40,MATCH($C123,Alimentos!$B$5:$B$40,0))</f>
        <v>0.14</v>
      </c>
      <c r="J123" s="17" t="n">
        <f aca="false">F123/100*INDEX(Alimentos!$H$5:$H$40,MATCH($C123,Alimentos!$B$5:$B$40,0))</f>
        <v>3.01</v>
      </c>
    </row>
    <row r="124" customFormat="false" ht="15" hidden="false" customHeight="false" outlineLevel="0" collapsed="false">
      <c r="A124" s="10" t="s">
        <v>250</v>
      </c>
      <c r="B124" s="10" t="s">
        <v>244</v>
      </c>
      <c r="C124" s="10" t="s">
        <v>220</v>
      </c>
      <c r="D124" s="6" t="n">
        <v>70</v>
      </c>
      <c r="E124" s="20" t="s">
        <v>64</v>
      </c>
      <c r="F124" s="14" t="n">
        <f aca="false">D124*IFERROR(VLOOKUP(E124,Perfil!$B$19:$C$24,2,0),1)</f>
        <v>70</v>
      </c>
      <c r="G124" s="17" t="n">
        <f aca="false">F124/100*INDEX(Alimentos!$E$5:$E$40,MATCH($C124,Alimentos!$B$5:$B$40,0))</f>
        <v>17.5</v>
      </c>
      <c r="H124" s="17" t="n">
        <f aca="false">F124/100*INDEX(Alimentos!$F$5:$F$40,MATCH($C124,Alimentos!$B$5:$B$40,0))</f>
        <v>1.68</v>
      </c>
      <c r="I124" s="17" t="n">
        <f aca="false">F124/100*INDEX(Alimentos!$G$5:$G$40,MATCH($C124,Alimentos!$B$5:$B$40,0))</f>
        <v>0.21</v>
      </c>
      <c r="J124" s="17" t="n">
        <f aca="false">F124/100*INDEX(Alimentos!$H$5:$H$40,MATCH($C124,Alimentos!$B$5:$B$40,0))</f>
        <v>5.67</v>
      </c>
    </row>
  </sheetData>
  <autoFilter ref="A4:J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2" min="11" style="0" width="14"/>
  </cols>
  <sheetData>
    <row r="1" customFormat="false" ht="18.55" hidden="false" customHeight="false" outlineLevel="0" collapsed="false">
      <c r="A1" s="1" t="s">
        <v>251</v>
      </c>
    </row>
    <row r="2" customFormat="false" ht="15" hidden="false" customHeight="false" outlineLevel="0" collapsed="false">
      <c r="A2" s="2" t="s">
        <v>252</v>
      </c>
    </row>
    <row r="4" customFormat="false" ht="33.75" hidden="false" customHeight="true" outlineLevel="0" collapsed="false">
      <c r="A4" s="8" t="s">
        <v>235</v>
      </c>
      <c r="B4" s="8" t="s">
        <v>241</v>
      </c>
      <c r="C4" s="8" t="s">
        <v>242</v>
      </c>
      <c r="D4" s="8" t="s">
        <v>243</v>
      </c>
      <c r="E4" s="8" t="s">
        <v>244</v>
      </c>
      <c r="F4" s="8" t="s">
        <v>253</v>
      </c>
      <c r="G4" s="8" t="s">
        <v>108</v>
      </c>
      <c r="H4" s="8" t="s">
        <v>109</v>
      </c>
      <c r="I4" s="8" t="s">
        <v>110</v>
      </c>
      <c r="J4" s="8" t="s">
        <v>254</v>
      </c>
      <c r="K4" s="8" t="s">
        <v>255</v>
      </c>
      <c r="L4" s="8" t="s">
        <v>256</v>
      </c>
    </row>
    <row r="5" customFormat="false" ht="15" hidden="false" customHeight="false" outlineLevel="0" collapsed="false">
      <c r="A5" s="10" t="s">
        <v>240</v>
      </c>
      <c r="B5" s="14" t="n">
        <f aca="false">SUMIFS(Menu_S1!$G$5:$G$124,Menu_S1!$A$5:$A$124,$A5,Menu_S1!$B$5:$B$124,"Desayuno")</f>
        <v>379.5</v>
      </c>
      <c r="C5" s="14" t="n">
        <f aca="false">SUMIFS(Menu_S1!$G$5:$G$124,Menu_S1!$A$5:$A$124,$A5,Menu_S1!$B$5:$B$124,"Almuerzo")</f>
        <v>472.9</v>
      </c>
      <c r="D5" s="14" t="n">
        <f aca="false">SUMIFS(Menu_S1!$G$5:$G$124,Menu_S1!$A$5:$A$124,$A5,Menu_S1!$B$5:$B$124,"Merienda")</f>
        <v>383.5</v>
      </c>
      <c r="E5" s="14" t="n">
        <f aca="false">SUMIFS(Menu_S1!$G$5:$G$124,Menu_S1!$A$5:$A$124,$A5,Menu_S1!$B$5:$B$124,"Cena")</f>
        <v>460</v>
      </c>
      <c r="F5" s="14" t="n">
        <f aca="false">SUM(B5:E5)</f>
        <v>1695.9</v>
      </c>
      <c r="G5" s="14" t="n">
        <f aca="false">SUMIFS(Menu_S1!$H$5:$H$124,Menu_S1!$A$5:$A$124,$A5)</f>
        <v>96.815</v>
      </c>
      <c r="H5" s="14" t="n">
        <f aca="false">SUMIFS(Menu_S1!$I$5:$I$124,Menu_S1!$A$5:$A$124,$A5)</f>
        <v>32.245</v>
      </c>
      <c r="I5" s="14" t="n">
        <f aca="false">SUMIFS(Menu_S1!$J$5:$J$124,Menu_S1!$A$5:$A$124,$A5)</f>
        <v>284.01</v>
      </c>
      <c r="J5" s="14" t="n">
        <f aca="false">Plan_12sem!$J$5</f>
        <v>1660</v>
      </c>
      <c r="K5" s="18" t="n">
        <f aca="false">F5-J5</f>
        <v>35.9000000000001</v>
      </c>
      <c r="L5" s="10" t="n">
        <f aca="false">Plan_12sem!$L$5</f>
        <v>103</v>
      </c>
    </row>
    <row r="6" customFormat="false" ht="15" hidden="false" customHeight="false" outlineLevel="0" collapsed="false">
      <c r="A6" s="10" t="s">
        <v>245</v>
      </c>
      <c r="B6" s="14" t="n">
        <f aca="false">SUMIFS(Menu_S1!$G$5:$G$124,Menu_S1!$A$5:$A$124,$A6,Menu_S1!$B$5:$B$124,"Desayuno")</f>
        <v>379.5</v>
      </c>
      <c r="C6" s="14" t="n">
        <f aca="false">SUMIFS(Menu_S1!$G$5:$G$124,Menu_S1!$A$5:$A$124,$A6,Menu_S1!$B$5:$B$124,"Almuerzo")</f>
        <v>447.7</v>
      </c>
      <c r="D6" s="14" t="n">
        <f aca="false">SUMIFS(Menu_S1!$G$5:$G$124,Menu_S1!$A$5:$A$124,$A6,Menu_S1!$B$5:$B$124,"Merienda")</f>
        <v>383.5</v>
      </c>
      <c r="E6" s="14" t="n">
        <f aca="false">SUMIFS(Menu_S1!$G$5:$G$124,Menu_S1!$A$5:$A$124,$A6,Menu_S1!$B$5:$B$124,"Cena")</f>
        <v>445.9</v>
      </c>
      <c r="F6" s="14" t="n">
        <f aca="false">SUM(B6:E6)</f>
        <v>1656.6</v>
      </c>
      <c r="G6" s="14" t="n">
        <f aca="false">SUMIFS(Menu_S1!$H$5:$H$124,Menu_S1!$A$5:$A$124,$A6)</f>
        <v>97.555</v>
      </c>
      <c r="H6" s="14" t="n">
        <f aca="false">SUMIFS(Menu_S1!$I$5:$I$124,Menu_S1!$A$5:$A$124,$A6)</f>
        <v>30.415</v>
      </c>
      <c r="I6" s="14" t="n">
        <f aca="false">SUMIFS(Menu_S1!$J$5:$J$124,Menu_S1!$A$5:$A$124,$A6)</f>
        <v>273.95</v>
      </c>
      <c r="J6" s="14" t="n">
        <f aca="false">Plan_12sem!$J$5</f>
        <v>1660</v>
      </c>
      <c r="K6" s="18" t="n">
        <f aca="false">F6-J6</f>
        <v>-3.40000000000009</v>
      </c>
      <c r="L6" s="10" t="n">
        <f aca="false">Plan_12sem!$L$5</f>
        <v>103</v>
      </c>
    </row>
    <row r="7" customFormat="false" ht="15" hidden="false" customHeight="false" outlineLevel="0" collapsed="false">
      <c r="A7" s="10" t="s">
        <v>246</v>
      </c>
      <c r="B7" s="14" t="n">
        <f aca="false">SUMIFS(Menu_S1!$G$5:$G$124,Menu_S1!$A$5:$A$124,$A7,Menu_S1!$B$5:$B$124,"Desayuno")</f>
        <v>519</v>
      </c>
      <c r="C7" s="14" t="n">
        <f aca="false">SUMIFS(Menu_S1!$G$5:$G$124,Menu_S1!$A$5:$A$124,$A7,Menu_S1!$B$5:$B$124,"Almuerzo")</f>
        <v>492.4</v>
      </c>
      <c r="D7" s="14" t="n">
        <f aca="false">SUMIFS(Menu_S1!$G$5:$G$124,Menu_S1!$A$5:$A$124,$A7,Menu_S1!$B$5:$B$124,"Merienda")</f>
        <v>523</v>
      </c>
      <c r="E7" s="14" t="n">
        <f aca="false">SUMIFS(Menu_S1!$G$5:$G$124,Menu_S1!$A$5:$A$124,$A7,Menu_S1!$B$5:$B$124,"Cena")</f>
        <v>393</v>
      </c>
      <c r="F7" s="14" t="n">
        <f aca="false">SUM(B7:E7)</f>
        <v>1927.4</v>
      </c>
      <c r="G7" s="14" t="n">
        <f aca="false">SUMIFS(Menu_S1!$H$5:$H$124,Menu_S1!$A$5:$A$124,$A7)</f>
        <v>122.655</v>
      </c>
      <c r="H7" s="14" t="n">
        <f aca="false">SUMIFS(Menu_S1!$I$5:$I$124,Menu_S1!$A$5:$A$124,$A7)</f>
        <v>48.025</v>
      </c>
      <c r="I7" s="14" t="n">
        <f aca="false">SUMIFS(Menu_S1!$J$5:$J$124,Menu_S1!$A$5:$A$124,$A7)</f>
        <v>283.03</v>
      </c>
      <c r="J7" s="14" t="n">
        <f aca="false">Plan_12sem!$J$5</f>
        <v>1660</v>
      </c>
      <c r="K7" s="18" t="n">
        <f aca="false">F7-J7</f>
        <v>267.4</v>
      </c>
      <c r="L7" s="10" t="n">
        <f aca="false">Plan_12sem!$L$5</f>
        <v>103</v>
      </c>
    </row>
    <row r="8" customFormat="false" ht="15" hidden="false" customHeight="false" outlineLevel="0" collapsed="false">
      <c r="A8" s="10" t="s">
        <v>247</v>
      </c>
      <c r="B8" s="14" t="n">
        <f aca="false">SUMIFS(Menu_S1!$G$5:$G$124,Menu_S1!$A$5:$A$124,$A8,Menu_S1!$B$5:$B$124,"Desayuno")</f>
        <v>379.5</v>
      </c>
      <c r="C8" s="14" t="n">
        <f aca="false">SUMIFS(Menu_S1!$G$5:$G$124,Menu_S1!$A$5:$A$124,$A8,Menu_S1!$B$5:$B$124,"Almuerzo")</f>
        <v>507.2</v>
      </c>
      <c r="D8" s="14" t="n">
        <f aca="false">SUMIFS(Menu_S1!$G$5:$G$124,Menu_S1!$A$5:$A$124,$A8,Menu_S1!$B$5:$B$124,"Merienda")</f>
        <v>383.5</v>
      </c>
      <c r="E8" s="14" t="n">
        <f aca="false">SUMIFS(Menu_S1!$G$5:$G$124,Menu_S1!$A$5:$A$124,$A8,Menu_S1!$B$5:$B$124,"Cena")</f>
        <v>492.5</v>
      </c>
      <c r="F8" s="14" t="n">
        <f aca="false">SUM(B8:E8)</f>
        <v>1762.7</v>
      </c>
      <c r="G8" s="14" t="n">
        <f aca="false">SUMIFS(Menu_S1!$H$5:$H$124,Menu_S1!$A$5:$A$124,$A8)</f>
        <v>93.055</v>
      </c>
      <c r="H8" s="14" t="n">
        <f aca="false">SUMIFS(Menu_S1!$I$5:$I$124,Menu_S1!$A$5:$A$124,$A8)</f>
        <v>40.365</v>
      </c>
      <c r="I8" s="14" t="n">
        <f aca="false">SUMIFS(Menu_S1!$J$5:$J$124,Menu_S1!$A$5:$A$124,$A8)</f>
        <v>285.24</v>
      </c>
      <c r="J8" s="14" t="n">
        <f aca="false">Plan_12sem!$J$5</f>
        <v>1660</v>
      </c>
      <c r="K8" s="18" t="n">
        <f aca="false">F8-J8</f>
        <v>102.7</v>
      </c>
      <c r="L8" s="10" t="n">
        <f aca="false">Plan_12sem!$L$5</f>
        <v>103</v>
      </c>
    </row>
    <row r="9" customFormat="false" ht="15" hidden="false" customHeight="false" outlineLevel="0" collapsed="false">
      <c r="A9" s="10" t="s">
        <v>248</v>
      </c>
      <c r="B9" s="14" t="n">
        <f aca="false">SUMIFS(Menu_S1!$G$5:$G$124,Menu_S1!$A$5:$A$124,$A9,Menu_S1!$B$5:$B$124,"Desayuno")</f>
        <v>379.5</v>
      </c>
      <c r="C9" s="14" t="n">
        <f aca="false">SUMIFS(Menu_S1!$G$5:$G$124,Menu_S1!$A$5:$A$124,$A9,Menu_S1!$B$5:$B$124,"Almuerzo")</f>
        <v>490.1</v>
      </c>
      <c r="D9" s="14" t="n">
        <f aca="false">SUMIFS(Menu_S1!$G$5:$G$124,Menu_S1!$A$5:$A$124,$A9,Menu_S1!$B$5:$B$124,"Merienda")</f>
        <v>383.5</v>
      </c>
      <c r="E9" s="14" t="n">
        <f aca="false">SUMIFS(Menu_S1!$G$5:$G$124,Menu_S1!$A$5:$A$124,$A9,Menu_S1!$B$5:$B$124,"Cena")</f>
        <v>413.7</v>
      </c>
      <c r="F9" s="14" t="n">
        <f aca="false">SUM(B9:E9)</f>
        <v>1666.8</v>
      </c>
      <c r="G9" s="14" t="n">
        <f aca="false">SUMIFS(Menu_S1!$H$5:$H$124,Menu_S1!$A$5:$A$124,$A9)</f>
        <v>99.615</v>
      </c>
      <c r="H9" s="14" t="n">
        <f aca="false">SUMIFS(Menu_S1!$I$5:$I$124,Menu_S1!$A$5:$A$124,$A9)</f>
        <v>30.545</v>
      </c>
      <c r="I9" s="14" t="n">
        <f aca="false">SUMIFS(Menu_S1!$J$5:$J$124,Menu_S1!$A$5:$A$124,$A9)</f>
        <v>272.72</v>
      </c>
      <c r="J9" s="14" t="n">
        <f aca="false">Plan_12sem!$J$5</f>
        <v>1660</v>
      </c>
      <c r="K9" s="18" t="n">
        <f aca="false">F9-J9</f>
        <v>6.79999999999995</v>
      </c>
      <c r="L9" s="10" t="n">
        <f aca="false">Plan_12sem!$L$5</f>
        <v>103</v>
      </c>
    </row>
    <row r="10" customFormat="false" ht="15" hidden="false" customHeight="false" outlineLevel="0" collapsed="false">
      <c r="A10" s="10" t="s">
        <v>249</v>
      </c>
      <c r="B10" s="14" t="n">
        <f aca="false">SUMIFS(Menu_S1!$G$5:$G$124,Menu_S1!$A$5:$A$124,$A10,Menu_S1!$B$5:$B$124,"Desayuno")</f>
        <v>519</v>
      </c>
      <c r="C10" s="14" t="n">
        <f aca="false">SUMIFS(Menu_S1!$G$5:$G$124,Menu_S1!$A$5:$A$124,$A10,Menu_S1!$B$5:$B$124,"Almuerzo")</f>
        <v>463.6</v>
      </c>
      <c r="D10" s="14" t="n">
        <f aca="false">SUMIFS(Menu_S1!$G$5:$G$124,Menu_S1!$A$5:$A$124,$A10,Menu_S1!$B$5:$B$124,"Merienda")</f>
        <v>523</v>
      </c>
      <c r="E10" s="14" t="n">
        <f aca="false">SUMIFS(Menu_S1!$G$5:$G$124,Menu_S1!$A$5:$A$124,$A10,Menu_S1!$B$5:$B$124,"Cena")</f>
        <v>458.5</v>
      </c>
      <c r="F10" s="14" t="n">
        <f aca="false">SUM(B10:E10)</f>
        <v>1964.1</v>
      </c>
      <c r="G10" s="14" t="n">
        <f aca="false">SUMIFS(Menu_S1!$H$5:$H$124,Menu_S1!$A$5:$A$124,$A10)</f>
        <v>121.265</v>
      </c>
      <c r="H10" s="14" t="n">
        <f aca="false">SUMIFS(Menu_S1!$I$5:$I$124,Menu_S1!$A$5:$A$124,$A10)</f>
        <v>49.915</v>
      </c>
      <c r="I10" s="14" t="n">
        <f aca="false">SUMIFS(Menu_S1!$J$5:$J$124,Menu_S1!$A$5:$A$124,$A10)</f>
        <v>284.4</v>
      </c>
      <c r="J10" s="14" t="n">
        <f aca="false">Plan_12sem!$J$5</f>
        <v>1660</v>
      </c>
      <c r="K10" s="18" t="n">
        <f aca="false">F10-J10</f>
        <v>304.1</v>
      </c>
      <c r="L10" s="10" t="n">
        <f aca="false">Plan_12sem!$L$5</f>
        <v>103</v>
      </c>
    </row>
    <row r="11" customFormat="false" ht="15" hidden="false" customHeight="false" outlineLevel="0" collapsed="false">
      <c r="A11" s="10" t="s">
        <v>250</v>
      </c>
      <c r="B11" s="14" t="n">
        <f aca="false">SUMIFS(Menu_S1!$G$5:$G$124,Menu_S1!$A$5:$A$124,$A11,Menu_S1!$B$5:$B$124,"Desayuno")</f>
        <v>379.5</v>
      </c>
      <c r="C11" s="14" t="n">
        <f aca="false">SUMIFS(Menu_S1!$G$5:$G$124,Menu_S1!$A$5:$A$124,$A11,Menu_S1!$B$5:$B$124,"Almuerzo")</f>
        <v>496.6</v>
      </c>
      <c r="D11" s="14" t="n">
        <f aca="false">SUMIFS(Menu_S1!$G$5:$G$124,Menu_S1!$A$5:$A$124,$A11,Menu_S1!$B$5:$B$124,"Merienda")</f>
        <v>383.5</v>
      </c>
      <c r="E11" s="14" t="n">
        <f aca="false">SUMIFS(Menu_S1!$G$5:$G$124,Menu_S1!$A$5:$A$124,$A11,Menu_S1!$B$5:$B$124,"Cena")</f>
        <v>406.6</v>
      </c>
      <c r="F11" s="14" t="n">
        <f aca="false">SUM(B11:E11)</f>
        <v>1666.2</v>
      </c>
      <c r="G11" s="14" t="n">
        <f aca="false">SUMIFS(Menu_S1!$H$5:$H$124,Menu_S1!$A$5:$A$124,$A11)</f>
        <v>99.955</v>
      </c>
      <c r="H11" s="14" t="n">
        <f aca="false">SUMIFS(Menu_S1!$I$5:$I$124,Menu_S1!$A$5:$A$124,$A11)</f>
        <v>30.245</v>
      </c>
      <c r="I11" s="14" t="n">
        <f aca="false">SUMIFS(Menu_S1!$J$5:$J$124,Menu_S1!$A$5:$A$124,$A11)</f>
        <v>273.95</v>
      </c>
      <c r="J11" s="14" t="n">
        <f aca="false">Plan_12sem!$J$5</f>
        <v>1660</v>
      </c>
      <c r="K11" s="18" t="n">
        <f aca="false">F11-J11</f>
        <v>6.19999999999982</v>
      </c>
      <c r="L11" s="10" t="n">
        <f aca="false">Plan_12sem!$L$5</f>
        <v>103</v>
      </c>
    </row>
    <row r="12" customFormat="false" ht="15" hidden="false" customHeight="false" outlineLevel="0" collapsed="false">
      <c r="A12" s="5" t="s">
        <v>257</v>
      </c>
      <c r="B12" s="21" t="n">
        <f aca="false">AVERAGE(B5:B11)</f>
        <v>419.357142857143</v>
      </c>
      <c r="C12" s="21" t="n">
        <f aca="false">AVERAGE(C5:C11)</f>
        <v>481.5</v>
      </c>
      <c r="D12" s="21" t="n">
        <f aca="false">AVERAGE(D5:D11)</f>
        <v>423.357142857143</v>
      </c>
      <c r="E12" s="21" t="n">
        <f aca="false">AVERAGE(E5:E11)</f>
        <v>438.6</v>
      </c>
      <c r="F12" s="21" t="n">
        <f aca="false">AVERAGE(F5:F11)</f>
        <v>1762.81428571429</v>
      </c>
      <c r="G12" s="21" t="n">
        <f aca="false">AVERAGE(G5:G11)</f>
        <v>104.416428571429</v>
      </c>
      <c r="H12" s="21" t="n">
        <f aca="false">AVERAGE(H5:H11)</f>
        <v>37.3935714285714</v>
      </c>
      <c r="I12" s="21" t="n">
        <f aca="false">AVERAGE(I5:I11)</f>
        <v>279.614285714286</v>
      </c>
      <c r="J12" s="21" t="n">
        <f aca="false">AVERAGE(J5:J11)</f>
        <v>1660</v>
      </c>
      <c r="K12" s="21" t="n">
        <f aca="false">AVERAGE(K5:K11)</f>
        <v>102.814285714286</v>
      </c>
      <c r="L12" s="21" t="n">
        <f aca="false">AVERAGE(L5:L11)</f>
        <v>103</v>
      </c>
    </row>
    <row r="14" customFormat="false" ht="15" hidden="false" customHeight="false" outlineLevel="0" collapsed="false">
      <c r="A14" s="5" t="s">
        <v>258</v>
      </c>
      <c r="C14" s="22" t="n">
        <f aca="false">G12/Perfil!C7</f>
        <v>1.61885935769657</v>
      </c>
    </row>
    <row r="15" customFormat="false" ht="15" hidden="false" customHeight="false" outlineLevel="0" collapsed="false">
      <c r="A15" s="5" t="s">
        <v>259</v>
      </c>
      <c r="C15" s="22" t="n">
        <f aca="false">(Plan_12sem!H5-F12)*7/Perfil!C14</f>
        <v>0.103657467532467</v>
      </c>
    </row>
    <row r="16" customFormat="false" ht="15" hidden="false" customHeight="false" outlineLevel="0" collapsed="false">
      <c r="A16" s="19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2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9"/>
  </cols>
  <sheetData>
    <row r="1" customFormat="false" ht="18.55" hidden="false" customHeight="false" outlineLevel="0" collapsed="false">
      <c r="A1" s="1" t="s">
        <v>261</v>
      </c>
    </row>
    <row r="2" customFormat="false" ht="15" hidden="false" customHeight="false" outlineLevel="0" collapsed="false">
      <c r="A2" s="2" t="s">
        <v>262</v>
      </c>
    </row>
    <row r="3" customFormat="false" ht="15" hidden="false" customHeight="false" outlineLevel="0" collapsed="false">
      <c r="A3" s="19" t="s">
        <v>263</v>
      </c>
    </row>
    <row r="5" customFormat="false" ht="33.75" hidden="false" customHeight="true" outlineLevel="0" collapsed="false">
      <c r="A5" s="8" t="s">
        <v>264</v>
      </c>
      <c r="B5" s="8" t="s">
        <v>235</v>
      </c>
      <c r="C5" s="8" t="s">
        <v>236</v>
      </c>
      <c r="D5" s="8" t="s">
        <v>104</v>
      </c>
      <c r="E5" s="8" t="s">
        <v>237</v>
      </c>
      <c r="F5" s="8" t="s">
        <v>238</v>
      </c>
      <c r="G5" s="8" t="s">
        <v>239</v>
      </c>
      <c r="H5" s="8" t="s">
        <v>107</v>
      </c>
      <c r="I5" s="8" t="s">
        <v>108</v>
      </c>
      <c r="J5" s="8" t="s">
        <v>109</v>
      </c>
      <c r="K5" s="8" t="s">
        <v>265</v>
      </c>
      <c r="L5" s="8" t="s">
        <v>266</v>
      </c>
    </row>
    <row r="6" customFormat="false" ht="15" hidden="false" customHeight="false" outlineLevel="0" collapsed="false">
      <c r="G6" s="23" t="str">
        <f aca="false">IF(OR(D6="",E6=""),"",E6*IFERROR(VLOOKUP(F6,Perfil!$B$19:$C$24,2,0),1))</f>
        <v/>
      </c>
      <c r="H6" s="23" t="str">
        <f aca="false">IF(G6="","",G6/100*INDEX(Alimentos!$E$5:$E$40,MATCH($D6,Alimentos!$B$5:$B$40,0)))</f>
        <v/>
      </c>
      <c r="I6" s="23" t="str">
        <f aca="false">IF(G6="","",G6/100*INDEX(Alimentos!$F$5:$F$40,MATCH($D6,Alimentos!$B$5:$B$40,0)))</f>
        <v/>
      </c>
      <c r="J6" s="23" t="str">
        <f aca="false">IF(G6="","",G6/100*INDEX(Alimentos!$G$5:$G$40,MATCH($D6,Alimentos!$B$5:$B$40,0)))</f>
        <v/>
      </c>
      <c r="K6" s="23" t="str">
        <f aca="false">IF(G6="","",G6/100*INDEX(Alimentos!$H$5:$H$40,MATCH($D6,Alimentos!$B$5:$B$40,0)))</f>
        <v/>
      </c>
      <c r="L6" s="24" t="str">
        <f aca="false">IF(OR(A6="",B6=""),"",Perfil!$C$13+(A6-1)*7+MATCH(B6,{"Lunes","Martes","Miércoles","Jueves","Viernes","Sábado","Domingo"},0)-1)</f>
        <v/>
      </c>
    </row>
    <row r="7" customFormat="false" ht="15" hidden="false" customHeight="false" outlineLevel="0" collapsed="false">
      <c r="G7" s="23" t="str">
        <f aca="false">IF(OR(D7="",E7=""),"",E7*IFERROR(VLOOKUP(F7,Perfil!$B$19:$C$24,2,0),1))</f>
        <v/>
      </c>
      <c r="H7" s="23" t="str">
        <f aca="false">IF(G7="","",G7/100*INDEX(Alimentos!$E$5:$E$40,MATCH($D7,Alimentos!$B$5:$B$40,0)))</f>
        <v/>
      </c>
      <c r="I7" s="23" t="str">
        <f aca="false">IF(G7="","",G7/100*INDEX(Alimentos!$F$5:$F$40,MATCH($D7,Alimentos!$B$5:$B$40,0)))</f>
        <v/>
      </c>
      <c r="J7" s="23" t="str">
        <f aca="false">IF(G7="","",G7/100*INDEX(Alimentos!$G$5:$G$40,MATCH($D7,Alimentos!$B$5:$B$40,0)))</f>
        <v/>
      </c>
      <c r="K7" s="23" t="str">
        <f aca="false">IF(G7="","",G7/100*INDEX(Alimentos!$H$5:$H$40,MATCH($D7,Alimentos!$B$5:$B$40,0)))</f>
        <v/>
      </c>
      <c r="L7" s="24" t="str">
        <f aca="false">IF(OR(A7="",B7=""),"",Perfil!$C$13+(A7-1)*7+MATCH(B7,{"Lunes","Martes","Miércoles","Jueves","Viernes","Sábado","Domingo"},0)-1)</f>
        <v/>
      </c>
    </row>
    <row r="8" customFormat="false" ht="15" hidden="false" customHeight="false" outlineLevel="0" collapsed="false">
      <c r="G8" s="23" t="str">
        <f aca="false">IF(OR(D8="",E8=""),"",E8*IFERROR(VLOOKUP(F8,Perfil!$B$19:$C$24,2,0),1))</f>
        <v/>
      </c>
      <c r="H8" s="23" t="str">
        <f aca="false">IF(G8="","",G8/100*INDEX(Alimentos!$E$5:$E$40,MATCH($D8,Alimentos!$B$5:$B$40,0)))</f>
        <v/>
      </c>
      <c r="I8" s="23" t="str">
        <f aca="false">IF(G8="","",G8/100*INDEX(Alimentos!$F$5:$F$40,MATCH($D8,Alimentos!$B$5:$B$40,0)))</f>
        <v/>
      </c>
      <c r="J8" s="23" t="str">
        <f aca="false">IF(G8="","",G8/100*INDEX(Alimentos!$G$5:$G$40,MATCH($D8,Alimentos!$B$5:$B$40,0)))</f>
        <v/>
      </c>
      <c r="K8" s="23" t="str">
        <f aca="false">IF(G8="","",G8/100*INDEX(Alimentos!$H$5:$H$40,MATCH($D8,Alimentos!$B$5:$B$40,0)))</f>
        <v/>
      </c>
      <c r="L8" s="24" t="str">
        <f aca="false">IF(OR(A8="",B8=""),"",Perfil!$C$13+(A8-1)*7+MATCH(B8,{"Lunes","Martes","Miércoles","Jueves","Viernes","Sábado","Domingo"},0)-1)</f>
        <v/>
      </c>
    </row>
    <row r="9" customFormat="false" ht="15" hidden="false" customHeight="false" outlineLevel="0" collapsed="false">
      <c r="G9" s="23" t="str">
        <f aca="false">IF(OR(D9="",E9=""),"",E9*IFERROR(VLOOKUP(F9,Perfil!$B$19:$C$24,2,0),1))</f>
        <v/>
      </c>
      <c r="H9" s="23" t="str">
        <f aca="false">IF(G9="","",G9/100*INDEX(Alimentos!$E$5:$E$40,MATCH($D9,Alimentos!$B$5:$B$40,0)))</f>
        <v/>
      </c>
      <c r="I9" s="23" t="str">
        <f aca="false">IF(G9="","",G9/100*INDEX(Alimentos!$F$5:$F$40,MATCH($D9,Alimentos!$B$5:$B$40,0)))</f>
        <v/>
      </c>
      <c r="J9" s="23" t="str">
        <f aca="false">IF(G9="","",G9/100*INDEX(Alimentos!$G$5:$G$40,MATCH($D9,Alimentos!$B$5:$B$40,0)))</f>
        <v/>
      </c>
      <c r="K9" s="23" t="str">
        <f aca="false">IF(G9="","",G9/100*INDEX(Alimentos!$H$5:$H$40,MATCH($D9,Alimentos!$B$5:$B$40,0)))</f>
        <v/>
      </c>
      <c r="L9" s="24" t="str">
        <f aca="false">IF(OR(A9="",B9=""),"",Perfil!$C$13+(A9-1)*7+MATCH(B9,{"Lunes","Martes","Miércoles","Jueves","Viernes","Sábado","Domingo"},0)-1)</f>
        <v/>
      </c>
    </row>
    <row r="10" customFormat="false" ht="15" hidden="false" customHeight="false" outlineLevel="0" collapsed="false">
      <c r="G10" s="23" t="str">
        <f aca="false">IF(OR(D10="",E10=""),"",E10*IFERROR(VLOOKUP(F10,Perfil!$B$19:$C$24,2,0),1))</f>
        <v/>
      </c>
      <c r="H10" s="23" t="str">
        <f aca="false">IF(G10="","",G10/100*INDEX(Alimentos!$E$5:$E$40,MATCH($D10,Alimentos!$B$5:$B$40,0)))</f>
        <v/>
      </c>
      <c r="I10" s="23" t="str">
        <f aca="false">IF(G10="","",G10/100*INDEX(Alimentos!$F$5:$F$40,MATCH($D10,Alimentos!$B$5:$B$40,0)))</f>
        <v/>
      </c>
      <c r="J10" s="23" t="str">
        <f aca="false">IF(G10="","",G10/100*INDEX(Alimentos!$G$5:$G$40,MATCH($D10,Alimentos!$B$5:$B$40,0)))</f>
        <v/>
      </c>
      <c r="K10" s="23" t="str">
        <f aca="false">IF(G10="","",G10/100*INDEX(Alimentos!$H$5:$H$40,MATCH($D10,Alimentos!$B$5:$B$40,0)))</f>
        <v/>
      </c>
      <c r="L10" s="24" t="str">
        <f aca="false">IF(OR(A10="",B10=""),"",Perfil!$C$13+(A10-1)*7+MATCH(B10,{"Lunes","Martes","Miércoles","Jueves","Viernes","Sábado","Domingo"},0)-1)</f>
        <v/>
      </c>
    </row>
    <row r="11" customFormat="false" ht="15" hidden="false" customHeight="false" outlineLevel="0" collapsed="false">
      <c r="G11" s="23" t="str">
        <f aca="false">IF(OR(D11="",E11=""),"",E11*IFERROR(VLOOKUP(F11,Perfil!$B$19:$C$24,2,0),1))</f>
        <v/>
      </c>
      <c r="H11" s="23" t="str">
        <f aca="false">IF(G11="","",G11/100*INDEX(Alimentos!$E$5:$E$40,MATCH($D11,Alimentos!$B$5:$B$40,0)))</f>
        <v/>
      </c>
      <c r="I11" s="23" t="str">
        <f aca="false">IF(G11="","",G11/100*INDEX(Alimentos!$F$5:$F$40,MATCH($D11,Alimentos!$B$5:$B$40,0)))</f>
        <v/>
      </c>
      <c r="J11" s="23" t="str">
        <f aca="false">IF(G11="","",G11/100*INDEX(Alimentos!$G$5:$G$40,MATCH($D11,Alimentos!$B$5:$B$40,0)))</f>
        <v/>
      </c>
      <c r="K11" s="23" t="str">
        <f aca="false">IF(G11="","",G11/100*INDEX(Alimentos!$H$5:$H$40,MATCH($D11,Alimentos!$B$5:$B$40,0)))</f>
        <v/>
      </c>
      <c r="L11" s="24" t="str">
        <f aca="false">IF(OR(A11="",B11=""),"",Perfil!$C$13+(A11-1)*7+MATCH(B11,{"Lunes","Martes","Miércoles","Jueves","Viernes","Sábado","Domingo"},0)-1)</f>
        <v/>
      </c>
    </row>
    <row r="12" customFormat="false" ht="15" hidden="false" customHeight="false" outlineLevel="0" collapsed="false">
      <c r="G12" s="23" t="str">
        <f aca="false">IF(OR(D12="",E12=""),"",E12*IFERROR(VLOOKUP(F12,Perfil!$B$19:$C$24,2,0),1))</f>
        <v/>
      </c>
      <c r="H12" s="23" t="str">
        <f aca="false">IF(G12="","",G12/100*INDEX(Alimentos!$E$5:$E$40,MATCH($D12,Alimentos!$B$5:$B$40,0)))</f>
        <v/>
      </c>
      <c r="I12" s="23" t="str">
        <f aca="false">IF(G12="","",G12/100*INDEX(Alimentos!$F$5:$F$40,MATCH($D12,Alimentos!$B$5:$B$40,0)))</f>
        <v/>
      </c>
      <c r="J12" s="23" t="str">
        <f aca="false">IF(G12="","",G12/100*INDEX(Alimentos!$G$5:$G$40,MATCH($D12,Alimentos!$B$5:$B$40,0)))</f>
        <v/>
      </c>
      <c r="K12" s="23" t="str">
        <f aca="false">IF(G12="","",G12/100*INDEX(Alimentos!$H$5:$H$40,MATCH($D12,Alimentos!$B$5:$B$40,0)))</f>
        <v/>
      </c>
      <c r="L12" s="24" t="str">
        <f aca="false">IF(OR(A12="",B12=""),"",Perfil!$C$13+(A12-1)*7+MATCH(B12,{"Lunes","Martes","Miércoles","Jueves","Viernes","Sábado","Domingo"},0)-1)</f>
        <v/>
      </c>
    </row>
    <row r="13" customFormat="false" ht="15" hidden="false" customHeight="false" outlineLevel="0" collapsed="false">
      <c r="G13" s="23" t="str">
        <f aca="false">IF(OR(D13="",E13=""),"",E13*IFERROR(VLOOKUP(F13,Perfil!$B$19:$C$24,2,0),1))</f>
        <v/>
      </c>
      <c r="H13" s="23" t="str">
        <f aca="false">IF(G13="","",G13/100*INDEX(Alimentos!$E$5:$E$40,MATCH($D13,Alimentos!$B$5:$B$40,0)))</f>
        <v/>
      </c>
      <c r="I13" s="23" t="str">
        <f aca="false">IF(G13="","",G13/100*INDEX(Alimentos!$F$5:$F$40,MATCH($D13,Alimentos!$B$5:$B$40,0)))</f>
        <v/>
      </c>
      <c r="J13" s="23" t="str">
        <f aca="false">IF(G13="","",G13/100*INDEX(Alimentos!$G$5:$G$40,MATCH($D13,Alimentos!$B$5:$B$40,0)))</f>
        <v/>
      </c>
      <c r="K13" s="23" t="str">
        <f aca="false">IF(G13="","",G13/100*INDEX(Alimentos!$H$5:$H$40,MATCH($D13,Alimentos!$B$5:$B$40,0)))</f>
        <v/>
      </c>
      <c r="L13" s="24" t="str">
        <f aca="false">IF(OR(A13="",B13=""),"",Perfil!$C$13+(A13-1)*7+MATCH(B13,{"Lunes","Martes","Miércoles","Jueves","Viernes","Sábado","Domingo"},0)-1)</f>
        <v/>
      </c>
    </row>
    <row r="14" customFormat="false" ht="15" hidden="false" customHeight="false" outlineLevel="0" collapsed="false">
      <c r="G14" s="23" t="str">
        <f aca="false">IF(OR(D14="",E14=""),"",E14*IFERROR(VLOOKUP(F14,Perfil!$B$19:$C$24,2,0),1))</f>
        <v/>
      </c>
      <c r="H14" s="23" t="str">
        <f aca="false">IF(G14="","",G14/100*INDEX(Alimentos!$E$5:$E$40,MATCH($D14,Alimentos!$B$5:$B$40,0)))</f>
        <v/>
      </c>
      <c r="I14" s="23" t="str">
        <f aca="false">IF(G14="","",G14/100*INDEX(Alimentos!$F$5:$F$40,MATCH($D14,Alimentos!$B$5:$B$40,0)))</f>
        <v/>
      </c>
      <c r="J14" s="23" t="str">
        <f aca="false">IF(G14="","",G14/100*INDEX(Alimentos!$G$5:$G$40,MATCH($D14,Alimentos!$B$5:$B$40,0)))</f>
        <v/>
      </c>
      <c r="K14" s="23" t="str">
        <f aca="false">IF(G14="","",G14/100*INDEX(Alimentos!$H$5:$H$40,MATCH($D14,Alimentos!$B$5:$B$40,0)))</f>
        <v/>
      </c>
      <c r="L14" s="24" t="str">
        <f aca="false">IF(OR(A14="",B14=""),"",Perfil!$C$13+(A14-1)*7+MATCH(B14,{"Lunes","Martes","Miércoles","Jueves","Viernes","Sábado","Domingo"},0)-1)</f>
        <v/>
      </c>
    </row>
    <row r="15" customFormat="false" ht="15" hidden="false" customHeight="false" outlineLevel="0" collapsed="false">
      <c r="G15" s="23" t="str">
        <f aca="false">IF(OR(D15="",E15=""),"",E15*IFERROR(VLOOKUP(F15,Perfil!$B$19:$C$24,2,0),1))</f>
        <v/>
      </c>
      <c r="H15" s="23" t="str">
        <f aca="false">IF(G15="","",G15/100*INDEX(Alimentos!$E$5:$E$40,MATCH($D15,Alimentos!$B$5:$B$40,0)))</f>
        <v/>
      </c>
      <c r="I15" s="23" t="str">
        <f aca="false">IF(G15="","",G15/100*INDEX(Alimentos!$F$5:$F$40,MATCH($D15,Alimentos!$B$5:$B$40,0)))</f>
        <v/>
      </c>
      <c r="J15" s="23" t="str">
        <f aca="false">IF(G15="","",G15/100*INDEX(Alimentos!$G$5:$G$40,MATCH($D15,Alimentos!$B$5:$B$40,0)))</f>
        <v/>
      </c>
      <c r="K15" s="23" t="str">
        <f aca="false">IF(G15="","",G15/100*INDEX(Alimentos!$H$5:$H$40,MATCH($D15,Alimentos!$B$5:$B$40,0)))</f>
        <v/>
      </c>
      <c r="L15" s="24" t="str">
        <f aca="false">IF(OR(A15="",B15=""),"",Perfil!$C$13+(A15-1)*7+MATCH(B15,{"Lunes","Martes","Miércoles","Jueves","Viernes","Sábado","Domingo"},0)-1)</f>
        <v/>
      </c>
    </row>
    <row r="16" customFormat="false" ht="15" hidden="false" customHeight="false" outlineLevel="0" collapsed="false">
      <c r="G16" s="23" t="str">
        <f aca="false">IF(OR(D16="",E16=""),"",E16*IFERROR(VLOOKUP(F16,Perfil!$B$19:$C$24,2,0),1))</f>
        <v/>
      </c>
      <c r="H16" s="23" t="str">
        <f aca="false">IF(G16="","",G16/100*INDEX(Alimentos!$E$5:$E$40,MATCH($D16,Alimentos!$B$5:$B$40,0)))</f>
        <v/>
      </c>
      <c r="I16" s="23" t="str">
        <f aca="false">IF(G16="","",G16/100*INDEX(Alimentos!$F$5:$F$40,MATCH($D16,Alimentos!$B$5:$B$40,0)))</f>
        <v/>
      </c>
      <c r="J16" s="23" t="str">
        <f aca="false">IF(G16="","",G16/100*INDEX(Alimentos!$G$5:$G$40,MATCH($D16,Alimentos!$B$5:$B$40,0)))</f>
        <v/>
      </c>
      <c r="K16" s="23" t="str">
        <f aca="false">IF(G16="","",G16/100*INDEX(Alimentos!$H$5:$H$40,MATCH($D16,Alimentos!$B$5:$B$40,0)))</f>
        <v/>
      </c>
      <c r="L16" s="24" t="str">
        <f aca="false">IF(OR(A16="",B16=""),"",Perfil!$C$13+(A16-1)*7+MATCH(B16,{"Lunes","Martes","Miércoles","Jueves","Viernes","Sábado","Domingo"},0)-1)</f>
        <v/>
      </c>
    </row>
    <row r="17" customFormat="false" ht="15" hidden="false" customHeight="false" outlineLevel="0" collapsed="false">
      <c r="G17" s="23" t="str">
        <f aca="false">IF(OR(D17="",E17=""),"",E17*IFERROR(VLOOKUP(F17,Perfil!$B$19:$C$24,2,0),1))</f>
        <v/>
      </c>
      <c r="H17" s="23" t="str">
        <f aca="false">IF(G17="","",G17/100*INDEX(Alimentos!$E$5:$E$40,MATCH($D17,Alimentos!$B$5:$B$40,0)))</f>
        <v/>
      </c>
      <c r="I17" s="23" t="str">
        <f aca="false">IF(G17="","",G17/100*INDEX(Alimentos!$F$5:$F$40,MATCH($D17,Alimentos!$B$5:$B$40,0)))</f>
        <v/>
      </c>
      <c r="J17" s="23" t="str">
        <f aca="false">IF(G17="","",G17/100*INDEX(Alimentos!$G$5:$G$40,MATCH($D17,Alimentos!$B$5:$B$40,0)))</f>
        <v/>
      </c>
      <c r="K17" s="23" t="str">
        <f aca="false">IF(G17="","",G17/100*INDEX(Alimentos!$H$5:$H$40,MATCH($D17,Alimentos!$B$5:$B$40,0)))</f>
        <v/>
      </c>
      <c r="L17" s="24" t="str">
        <f aca="false">IF(OR(A17="",B17=""),"",Perfil!$C$13+(A17-1)*7+MATCH(B17,{"Lunes","Martes","Miércoles","Jueves","Viernes","Sábado","Domingo"},0)-1)</f>
        <v/>
      </c>
    </row>
    <row r="18" customFormat="false" ht="15" hidden="false" customHeight="false" outlineLevel="0" collapsed="false">
      <c r="G18" s="23" t="str">
        <f aca="false">IF(OR(D18="",E18=""),"",E18*IFERROR(VLOOKUP(F18,Perfil!$B$19:$C$24,2,0),1))</f>
        <v/>
      </c>
      <c r="H18" s="23" t="str">
        <f aca="false">IF(G18="","",G18/100*INDEX(Alimentos!$E$5:$E$40,MATCH($D18,Alimentos!$B$5:$B$40,0)))</f>
        <v/>
      </c>
      <c r="I18" s="23" t="str">
        <f aca="false">IF(G18="","",G18/100*INDEX(Alimentos!$F$5:$F$40,MATCH($D18,Alimentos!$B$5:$B$40,0)))</f>
        <v/>
      </c>
      <c r="J18" s="23" t="str">
        <f aca="false">IF(G18="","",G18/100*INDEX(Alimentos!$G$5:$G$40,MATCH($D18,Alimentos!$B$5:$B$40,0)))</f>
        <v/>
      </c>
      <c r="K18" s="23" t="str">
        <f aca="false">IF(G18="","",G18/100*INDEX(Alimentos!$H$5:$H$40,MATCH($D18,Alimentos!$B$5:$B$40,0)))</f>
        <v/>
      </c>
      <c r="L18" s="24" t="str">
        <f aca="false">IF(OR(A18="",B18=""),"",Perfil!$C$13+(A18-1)*7+MATCH(B18,{"Lunes","Martes","Miércoles","Jueves","Viernes","Sábado","Domingo"},0)-1)</f>
        <v/>
      </c>
    </row>
    <row r="19" customFormat="false" ht="15" hidden="false" customHeight="false" outlineLevel="0" collapsed="false">
      <c r="G19" s="23" t="str">
        <f aca="false">IF(OR(D19="",E19=""),"",E19*IFERROR(VLOOKUP(F19,Perfil!$B$19:$C$24,2,0),1))</f>
        <v/>
      </c>
      <c r="H19" s="23" t="str">
        <f aca="false">IF(G19="","",G19/100*INDEX(Alimentos!$E$5:$E$40,MATCH($D19,Alimentos!$B$5:$B$40,0)))</f>
        <v/>
      </c>
      <c r="I19" s="23" t="str">
        <f aca="false">IF(G19="","",G19/100*INDEX(Alimentos!$F$5:$F$40,MATCH($D19,Alimentos!$B$5:$B$40,0)))</f>
        <v/>
      </c>
      <c r="J19" s="23" t="str">
        <f aca="false">IF(G19="","",G19/100*INDEX(Alimentos!$G$5:$G$40,MATCH($D19,Alimentos!$B$5:$B$40,0)))</f>
        <v/>
      </c>
      <c r="K19" s="23" t="str">
        <f aca="false">IF(G19="","",G19/100*INDEX(Alimentos!$H$5:$H$40,MATCH($D19,Alimentos!$B$5:$B$40,0)))</f>
        <v/>
      </c>
      <c r="L19" s="24" t="str">
        <f aca="false">IF(OR(A19="",B19=""),"",Perfil!$C$13+(A19-1)*7+MATCH(B19,{"Lunes","Martes","Miércoles","Jueves","Viernes","Sábado","Domingo"},0)-1)</f>
        <v/>
      </c>
    </row>
    <row r="20" customFormat="false" ht="15" hidden="false" customHeight="false" outlineLevel="0" collapsed="false">
      <c r="G20" s="23" t="str">
        <f aca="false">IF(OR(D20="",E20=""),"",E20*IFERROR(VLOOKUP(F20,Perfil!$B$19:$C$24,2,0),1))</f>
        <v/>
      </c>
      <c r="H20" s="23" t="str">
        <f aca="false">IF(G20="","",G20/100*INDEX(Alimentos!$E$5:$E$40,MATCH($D20,Alimentos!$B$5:$B$40,0)))</f>
        <v/>
      </c>
      <c r="I20" s="23" t="str">
        <f aca="false">IF(G20="","",G20/100*INDEX(Alimentos!$F$5:$F$40,MATCH($D20,Alimentos!$B$5:$B$40,0)))</f>
        <v/>
      </c>
      <c r="J20" s="23" t="str">
        <f aca="false">IF(G20="","",G20/100*INDEX(Alimentos!$G$5:$G$40,MATCH($D20,Alimentos!$B$5:$B$40,0)))</f>
        <v/>
      </c>
      <c r="K20" s="23" t="str">
        <f aca="false">IF(G20="","",G20/100*INDEX(Alimentos!$H$5:$H$40,MATCH($D20,Alimentos!$B$5:$B$40,0)))</f>
        <v/>
      </c>
      <c r="L20" s="24" t="str">
        <f aca="false">IF(OR(A20="",B20=""),"",Perfil!$C$13+(A20-1)*7+MATCH(B20,{"Lunes","Martes","Miércoles","Jueves","Viernes","Sábado","Domingo"},0)-1)</f>
        <v/>
      </c>
    </row>
    <row r="21" customFormat="false" ht="15" hidden="false" customHeight="false" outlineLevel="0" collapsed="false">
      <c r="G21" s="23" t="str">
        <f aca="false">IF(OR(D21="",E21=""),"",E21*IFERROR(VLOOKUP(F21,Perfil!$B$19:$C$24,2,0),1))</f>
        <v/>
      </c>
      <c r="H21" s="23" t="str">
        <f aca="false">IF(G21="","",G21/100*INDEX(Alimentos!$E$5:$E$40,MATCH($D21,Alimentos!$B$5:$B$40,0)))</f>
        <v/>
      </c>
      <c r="I21" s="23" t="str">
        <f aca="false">IF(G21="","",G21/100*INDEX(Alimentos!$F$5:$F$40,MATCH($D21,Alimentos!$B$5:$B$40,0)))</f>
        <v/>
      </c>
      <c r="J21" s="23" t="str">
        <f aca="false">IF(G21="","",G21/100*INDEX(Alimentos!$G$5:$G$40,MATCH($D21,Alimentos!$B$5:$B$40,0)))</f>
        <v/>
      </c>
      <c r="K21" s="23" t="str">
        <f aca="false">IF(G21="","",G21/100*INDEX(Alimentos!$H$5:$H$40,MATCH($D21,Alimentos!$B$5:$B$40,0)))</f>
        <v/>
      </c>
      <c r="L21" s="24" t="str">
        <f aca="false">IF(OR(A21="",B21=""),"",Perfil!$C$13+(A21-1)*7+MATCH(B21,{"Lunes","Martes","Miércoles","Jueves","Viernes","Sábado","Domingo"},0)-1)</f>
        <v/>
      </c>
    </row>
    <row r="22" customFormat="false" ht="15" hidden="false" customHeight="false" outlineLevel="0" collapsed="false">
      <c r="G22" s="23" t="str">
        <f aca="false">IF(OR(D22="",E22=""),"",E22*IFERROR(VLOOKUP(F22,Perfil!$B$19:$C$24,2,0),1))</f>
        <v/>
      </c>
      <c r="H22" s="23" t="str">
        <f aca="false">IF(G22="","",G22/100*INDEX(Alimentos!$E$5:$E$40,MATCH($D22,Alimentos!$B$5:$B$40,0)))</f>
        <v/>
      </c>
      <c r="I22" s="23" t="str">
        <f aca="false">IF(G22="","",G22/100*INDEX(Alimentos!$F$5:$F$40,MATCH($D22,Alimentos!$B$5:$B$40,0)))</f>
        <v/>
      </c>
      <c r="J22" s="23" t="str">
        <f aca="false">IF(G22="","",G22/100*INDEX(Alimentos!$G$5:$G$40,MATCH($D22,Alimentos!$B$5:$B$40,0)))</f>
        <v/>
      </c>
      <c r="K22" s="23" t="str">
        <f aca="false">IF(G22="","",G22/100*INDEX(Alimentos!$H$5:$H$40,MATCH($D22,Alimentos!$B$5:$B$40,0)))</f>
        <v/>
      </c>
      <c r="L22" s="24" t="str">
        <f aca="false">IF(OR(A22="",B22=""),"",Perfil!$C$13+(A22-1)*7+MATCH(B22,{"Lunes","Martes","Miércoles","Jueves","Viernes","Sábado","Domingo"},0)-1)</f>
        <v/>
      </c>
    </row>
    <row r="23" customFormat="false" ht="15" hidden="false" customHeight="false" outlineLevel="0" collapsed="false">
      <c r="G23" s="23" t="str">
        <f aca="false">IF(OR(D23="",E23=""),"",E23*IFERROR(VLOOKUP(F23,Perfil!$B$19:$C$24,2,0),1))</f>
        <v/>
      </c>
      <c r="H23" s="23" t="str">
        <f aca="false">IF(G23="","",G23/100*INDEX(Alimentos!$E$5:$E$40,MATCH($D23,Alimentos!$B$5:$B$40,0)))</f>
        <v/>
      </c>
      <c r="I23" s="23" t="str">
        <f aca="false">IF(G23="","",G23/100*INDEX(Alimentos!$F$5:$F$40,MATCH($D23,Alimentos!$B$5:$B$40,0)))</f>
        <v/>
      </c>
      <c r="J23" s="23" t="str">
        <f aca="false">IF(G23="","",G23/100*INDEX(Alimentos!$G$5:$G$40,MATCH($D23,Alimentos!$B$5:$B$40,0)))</f>
        <v/>
      </c>
      <c r="K23" s="23" t="str">
        <f aca="false">IF(G23="","",G23/100*INDEX(Alimentos!$H$5:$H$40,MATCH($D23,Alimentos!$B$5:$B$40,0)))</f>
        <v/>
      </c>
      <c r="L23" s="24" t="str">
        <f aca="false">IF(OR(A23="",B23=""),"",Perfil!$C$13+(A23-1)*7+MATCH(B23,{"Lunes","Martes","Miércoles","Jueves","Viernes","Sábado","Domingo"},0)-1)</f>
        <v/>
      </c>
    </row>
    <row r="24" customFormat="false" ht="15" hidden="false" customHeight="false" outlineLevel="0" collapsed="false">
      <c r="G24" s="23" t="str">
        <f aca="false">IF(OR(D24="",E24=""),"",E24*IFERROR(VLOOKUP(F24,Perfil!$B$19:$C$24,2,0),1))</f>
        <v/>
      </c>
      <c r="H24" s="23" t="str">
        <f aca="false">IF(G24="","",G24/100*INDEX(Alimentos!$E$5:$E$40,MATCH($D24,Alimentos!$B$5:$B$40,0)))</f>
        <v/>
      </c>
      <c r="I24" s="23" t="str">
        <f aca="false">IF(G24="","",G24/100*INDEX(Alimentos!$F$5:$F$40,MATCH($D24,Alimentos!$B$5:$B$40,0)))</f>
        <v/>
      </c>
      <c r="J24" s="23" t="str">
        <f aca="false">IF(G24="","",G24/100*INDEX(Alimentos!$G$5:$G$40,MATCH($D24,Alimentos!$B$5:$B$40,0)))</f>
        <v/>
      </c>
      <c r="K24" s="23" t="str">
        <f aca="false">IF(G24="","",G24/100*INDEX(Alimentos!$H$5:$H$40,MATCH($D24,Alimentos!$B$5:$B$40,0)))</f>
        <v/>
      </c>
      <c r="L24" s="24" t="str">
        <f aca="false">IF(OR(A24="",B24=""),"",Perfil!$C$13+(A24-1)*7+MATCH(B24,{"Lunes","Martes","Miércoles","Jueves","Viernes","Sábado","Domingo"},0)-1)</f>
        <v/>
      </c>
    </row>
    <row r="25" customFormat="false" ht="15" hidden="false" customHeight="false" outlineLevel="0" collapsed="false">
      <c r="G25" s="23" t="str">
        <f aca="false">IF(OR(D25="",E25=""),"",E25*IFERROR(VLOOKUP(F25,Perfil!$B$19:$C$24,2,0),1))</f>
        <v/>
      </c>
      <c r="H25" s="23" t="str">
        <f aca="false">IF(G25="","",G25/100*INDEX(Alimentos!$E$5:$E$40,MATCH($D25,Alimentos!$B$5:$B$40,0)))</f>
        <v/>
      </c>
      <c r="I25" s="23" t="str">
        <f aca="false">IF(G25="","",G25/100*INDEX(Alimentos!$F$5:$F$40,MATCH($D25,Alimentos!$B$5:$B$40,0)))</f>
        <v/>
      </c>
      <c r="J25" s="23" t="str">
        <f aca="false">IF(G25="","",G25/100*INDEX(Alimentos!$G$5:$G$40,MATCH($D25,Alimentos!$B$5:$B$40,0)))</f>
        <v/>
      </c>
      <c r="K25" s="23" t="str">
        <f aca="false">IF(G25="","",G25/100*INDEX(Alimentos!$H$5:$H$40,MATCH($D25,Alimentos!$B$5:$B$40,0)))</f>
        <v/>
      </c>
      <c r="L25" s="24" t="str">
        <f aca="false">IF(OR(A25="",B25=""),"",Perfil!$C$13+(A25-1)*7+MATCH(B25,{"Lunes","Martes","Miércoles","Jueves","Viernes","Sábado","Domingo"},0)-1)</f>
        <v/>
      </c>
    </row>
    <row r="26" customFormat="false" ht="15" hidden="false" customHeight="false" outlineLevel="0" collapsed="false">
      <c r="G26" s="23" t="str">
        <f aca="false">IF(OR(D26="",E26=""),"",E26*IFERROR(VLOOKUP(F26,Perfil!$B$19:$C$24,2,0),1))</f>
        <v/>
      </c>
      <c r="H26" s="23" t="str">
        <f aca="false">IF(G26="","",G26/100*INDEX(Alimentos!$E$5:$E$40,MATCH($D26,Alimentos!$B$5:$B$40,0)))</f>
        <v/>
      </c>
      <c r="I26" s="23" t="str">
        <f aca="false">IF(G26="","",G26/100*INDEX(Alimentos!$F$5:$F$40,MATCH($D26,Alimentos!$B$5:$B$40,0)))</f>
        <v/>
      </c>
      <c r="J26" s="23" t="str">
        <f aca="false">IF(G26="","",G26/100*INDEX(Alimentos!$G$5:$G$40,MATCH($D26,Alimentos!$B$5:$B$40,0)))</f>
        <v/>
      </c>
      <c r="K26" s="23" t="str">
        <f aca="false">IF(G26="","",G26/100*INDEX(Alimentos!$H$5:$H$40,MATCH($D26,Alimentos!$B$5:$B$40,0)))</f>
        <v/>
      </c>
      <c r="L26" s="24" t="str">
        <f aca="false">IF(OR(A26="",B26=""),"",Perfil!$C$13+(A26-1)*7+MATCH(B26,{"Lunes","Martes","Miércoles","Jueves","Viernes","Sábado","Domingo"},0)-1)</f>
        <v/>
      </c>
    </row>
    <row r="27" customFormat="false" ht="15" hidden="false" customHeight="false" outlineLevel="0" collapsed="false">
      <c r="G27" s="23" t="str">
        <f aca="false">IF(OR(D27="",E27=""),"",E27*IFERROR(VLOOKUP(F27,Perfil!$B$19:$C$24,2,0),1))</f>
        <v/>
      </c>
      <c r="H27" s="23" t="str">
        <f aca="false">IF(G27="","",G27/100*INDEX(Alimentos!$E$5:$E$40,MATCH($D27,Alimentos!$B$5:$B$40,0)))</f>
        <v/>
      </c>
      <c r="I27" s="23" t="str">
        <f aca="false">IF(G27="","",G27/100*INDEX(Alimentos!$F$5:$F$40,MATCH($D27,Alimentos!$B$5:$B$40,0)))</f>
        <v/>
      </c>
      <c r="J27" s="23" t="str">
        <f aca="false">IF(G27="","",G27/100*INDEX(Alimentos!$G$5:$G$40,MATCH($D27,Alimentos!$B$5:$B$40,0)))</f>
        <v/>
      </c>
      <c r="K27" s="23" t="str">
        <f aca="false">IF(G27="","",G27/100*INDEX(Alimentos!$H$5:$H$40,MATCH($D27,Alimentos!$B$5:$B$40,0)))</f>
        <v/>
      </c>
      <c r="L27" s="24" t="str">
        <f aca="false">IF(OR(A27="",B27=""),"",Perfil!$C$13+(A27-1)*7+MATCH(B27,{"Lunes","Martes","Miércoles","Jueves","Viernes","Sábado","Domingo"},0)-1)</f>
        <v/>
      </c>
    </row>
    <row r="28" customFormat="false" ht="15" hidden="false" customHeight="false" outlineLevel="0" collapsed="false">
      <c r="G28" s="23" t="str">
        <f aca="false">IF(OR(D28="",E28=""),"",E28*IFERROR(VLOOKUP(F28,Perfil!$B$19:$C$24,2,0),1))</f>
        <v/>
      </c>
      <c r="H28" s="23" t="str">
        <f aca="false">IF(G28="","",G28/100*INDEX(Alimentos!$E$5:$E$40,MATCH($D28,Alimentos!$B$5:$B$40,0)))</f>
        <v/>
      </c>
      <c r="I28" s="23" t="str">
        <f aca="false">IF(G28="","",G28/100*INDEX(Alimentos!$F$5:$F$40,MATCH($D28,Alimentos!$B$5:$B$40,0)))</f>
        <v/>
      </c>
      <c r="J28" s="23" t="str">
        <f aca="false">IF(G28="","",G28/100*INDEX(Alimentos!$G$5:$G$40,MATCH($D28,Alimentos!$B$5:$B$40,0)))</f>
        <v/>
      </c>
      <c r="K28" s="23" t="str">
        <f aca="false">IF(G28="","",G28/100*INDEX(Alimentos!$H$5:$H$40,MATCH($D28,Alimentos!$B$5:$B$40,0)))</f>
        <v/>
      </c>
      <c r="L28" s="24" t="str">
        <f aca="false">IF(OR(A28="",B28=""),"",Perfil!$C$13+(A28-1)*7+MATCH(B28,{"Lunes","Martes","Miércoles","Jueves","Viernes","Sábado","Domingo"},0)-1)</f>
        <v/>
      </c>
    </row>
    <row r="29" customFormat="false" ht="15" hidden="false" customHeight="false" outlineLevel="0" collapsed="false">
      <c r="G29" s="23" t="str">
        <f aca="false">IF(OR(D29="",E29=""),"",E29*IFERROR(VLOOKUP(F29,Perfil!$B$19:$C$24,2,0),1))</f>
        <v/>
      </c>
      <c r="H29" s="23" t="str">
        <f aca="false">IF(G29="","",G29/100*INDEX(Alimentos!$E$5:$E$40,MATCH($D29,Alimentos!$B$5:$B$40,0)))</f>
        <v/>
      </c>
      <c r="I29" s="23" t="str">
        <f aca="false">IF(G29="","",G29/100*INDEX(Alimentos!$F$5:$F$40,MATCH($D29,Alimentos!$B$5:$B$40,0)))</f>
        <v/>
      </c>
      <c r="J29" s="23" t="str">
        <f aca="false">IF(G29="","",G29/100*INDEX(Alimentos!$G$5:$G$40,MATCH($D29,Alimentos!$B$5:$B$40,0)))</f>
        <v/>
      </c>
      <c r="K29" s="23" t="str">
        <f aca="false">IF(G29="","",G29/100*INDEX(Alimentos!$H$5:$H$40,MATCH($D29,Alimentos!$B$5:$B$40,0)))</f>
        <v/>
      </c>
      <c r="L29" s="24" t="str">
        <f aca="false">IF(OR(A29="",B29=""),"",Perfil!$C$13+(A29-1)*7+MATCH(B29,{"Lunes","Martes","Miércoles","Jueves","Viernes","Sábado","Domingo"},0)-1)</f>
        <v/>
      </c>
    </row>
    <row r="30" customFormat="false" ht="15" hidden="false" customHeight="false" outlineLevel="0" collapsed="false">
      <c r="G30" s="23" t="str">
        <f aca="false">IF(OR(D30="",E30=""),"",E30*IFERROR(VLOOKUP(F30,Perfil!$B$19:$C$24,2,0),1))</f>
        <v/>
      </c>
      <c r="H30" s="23" t="str">
        <f aca="false">IF(G30="","",G30/100*INDEX(Alimentos!$E$5:$E$40,MATCH($D30,Alimentos!$B$5:$B$40,0)))</f>
        <v/>
      </c>
      <c r="I30" s="23" t="str">
        <f aca="false">IF(G30="","",G30/100*INDEX(Alimentos!$F$5:$F$40,MATCH($D30,Alimentos!$B$5:$B$40,0)))</f>
        <v/>
      </c>
      <c r="J30" s="23" t="str">
        <f aca="false">IF(G30="","",G30/100*INDEX(Alimentos!$G$5:$G$40,MATCH($D30,Alimentos!$B$5:$B$40,0)))</f>
        <v/>
      </c>
      <c r="K30" s="23" t="str">
        <f aca="false">IF(G30="","",G30/100*INDEX(Alimentos!$H$5:$H$40,MATCH($D30,Alimentos!$B$5:$B$40,0)))</f>
        <v/>
      </c>
      <c r="L30" s="24" t="str">
        <f aca="false">IF(OR(A30="",B30=""),"",Perfil!$C$13+(A30-1)*7+MATCH(B30,{"Lunes","Martes","Miércoles","Jueves","Viernes","Sábado","Domingo"},0)-1)</f>
        <v/>
      </c>
    </row>
    <row r="31" customFormat="false" ht="15" hidden="false" customHeight="false" outlineLevel="0" collapsed="false">
      <c r="G31" s="23" t="str">
        <f aca="false">IF(OR(D31="",E31=""),"",E31*IFERROR(VLOOKUP(F31,Perfil!$B$19:$C$24,2,0),1))</f>
        <v/>
      </c>
      <c r="H31" s="23" t="str">
        <f aca="false">IF(G31="","",G31/100*INDEX(Alimentos!$E$5:$E$40,MATCH($D31,Alimentos!$B$5:$B$40,0)))</f>
        <v/>
      </c>
      <c r="I31" s="23" t="str">
        <f aca="false">IF(G31="","",G31/100*INDEX(Alimentos!$F$5:$F$40,MATCH($D31,Alimentos!$B$5:$B$40,0)))</f>
        <v/>
      </c>
      <c r="J31" s="23" t="str">
        <f aca="false">IF(G31="","",G31/100*INDEX(Alimentos!$G$5:$G$40,MATCH($D31,Alimentos!$B$5:$B$40,0)))</f>
        <v/>
      </c>
      <c r="K31" s="23" t="str">
        <f aca="false">IF(G31="","",G31/100*INDEX(Alimentos!$H$5:$H$40,MATCH($D31,Alimentos!$B$5:$B$40,0)))</f>
        <v/>
      </c>
      <c r="L31" s="24" t="str">
        <f aca="false">IF(OR(A31="",B31=""),"",Perfil!$C$13+(A31-1)*7+MATCH(B31,{"Lunes","Martes","Miércoles","Jueves","Viernes","Sábado","Domingo"},0)-1)</f>
        <v/>
      </c>
    </row>
    <row r="32" customFormat="false" ht="15" hidden="false" customHeight="false" outlineLevel="0" collapsed="false">
      <c r="G32" s="23" t="str">
        <f aca="false">IF(OR(D32="",E32=""),"",E32*IFERROR(VLOOKUP(F32,Perfil!$B$19:$C$24,2,0),1))</f>
        <v/>
      </c>
      <c r="H32" s="23" t="str">
        <f aca="false">IF(G32="","",G32/100*INDEX(Alimentos!$E$5:$E$40,MATCH($D32,Alimentos!$B$5:$B$40,0)))</f>
        <v/>
      </c>
      <c r="I32" s="23" t="str">
        <f aca="false">IF(G32="","",G32/100*INDEX(Alimentos!$F$5:$F$40,MATCH($D32,Alimentos!$B$5:$B$40,0)))</f>
        <v/>
      </c>
      <c r="J32" s="23" t="str">
        <f aca="false">IF(G32="","",G32/100*INDEX(Alimentos!$G$5:$G$40,MATCH($D32,Alimentos!$B$5:$B$40,0)))</f>
        <v/>
      </c>
      <c r="K32" s="23" t="str">
        <f aca="false">IF(G32="","",G32/100*INDEX(Alimentos!$H$5:$H$40,MATCH($D32,Alimentos!$B$5:$B$40,0)))</f>
        <v/>
      </c>
      <c r="L32" s="24" t="str">
        <f aca="false">IF(OR(A32="",B32=""),"",Perfil!$C$13+(A32-1)*7+MATCH(B32,{"Lunes","Martes","Miércoles","Jueves","Viernes","Sábado","Domingo"},0)-1)</f>
        <v/>
      </c>
    </row>
    <row r="33" customFormat="false" ht="15" hidden="false" customHeight="false" outlineLevel="0" collapsed="false">
      <c r="G33" s="23" t="str">
        <f aca="false">IF(OR(D33="",E33=""),"",E33*IFERROR(VLOOKUP(F33,Perfil!$B$19:$C$24,2,0),1))</f>
        <v/>
      </c>
      <c r="H33" s="23" t="str">
        <f aca="false">IF(G33="","",G33/100*INDEX(Alimentos!$E$5:$E$40,MATCH($D33,Alimentos!$B$5:$B$40,0)))</f>
        <v/>
      </c>
      <c r="I33" s="23" t="str">
        <f aca="false">IF(G33="","",G33/100*INDEX(Alimentos!$F$5:$F$40,MATCH($D33,Alimentos!$B$5:$B$40,0)))</f>
        <v/>
      </c>
      <c r="J33" s="23" t="str">
        <f aca="false">IF(G33="","",G33/100*INDEX(Alimentos!$G$5:$G$40,MATCH($D33,Alimentos!$B$5:$B$40,0)))</f>
        <v/>
      </c>
      <c r="K33" s="23" t="str">
        <f aca="false">IF(G33="","",G33/100*INDEX(Alimentos!$H$5:$H$40,MATCH($D33,Alimentos!$B$5:$B$40,0)))</f>
        <v/>
      </c>
      <c r="L33" s="24" t="str">
        <f aca="false">IF(OR(A33="",B33=""),"",Perfil!$C$13+(A33-1)*7+MATCH(B33,{"Lunes","Martes","Miércoles","Jueves","Viernes","Sábado","Domingo"},0)-1)</f>
        <v/>
      </c>
    </row>
    <row r="34" customFormat="false" ht="15" hidden="false" customHeight="false" outlineLevel="0" collapsed="false">
      <c r="G34" s="23" t="str">
        <f aca="false">IF(OR(D34="",E34=""),"",E34*IFERROR(VLOOKUP(F34,Perfil!$B$19:$C$24,2,0),1))</f>
        <v/>
      </c>
      <c r="H34" s="23" t="str">
        <f aca="false">IF(G34="","",G34/100*INDEX(Alimentos!$E$5:$E$40,MATCH($D34,Alimentos!$B$5:$B$40,0)))</f>
        <v/>
      </c>
      <c r="I34" s="23" t="str">
        <f aca="false">IF(G34="","",G34/100*INDEX(Alimentos!$F$5:$F$40,MATCH($D34,Alimentos!$B$5:$B$40,0)))</f>
        <v/>
      </c>
      <c r="J34" s="23" t="str">
        <f aca="false">IF(G34="","",G34/100*INDEX(Alimentos!$G$5:$G$40,MATCH($D34,Alimentos!$B$5:$B$40,0)))</f>
        <v/>
      </c>
      <c r="K34" s="23" t="str">
        <f aca="false">IF(G34="","",G34/100*INDEX(Alimentos!$H$5:$H$40,MATCH($D34,Alimentos!$B$5:$B$40,0)))</f>
        <v/>
      </c>
      <c r="L34" s="24" t="str">
        <f aca="false">IF(OR(A34="",B34=""),"",Perfil!$C$13+(A34-1)*7+MATCH(B34,{"Lunes","Martes","Miércoles","Jueves","Viernes","Sábado","Domingo"},0)-1)</f>
        <v/>
      </c>
    </row>
    <row r="35" customFormat="false" ht="15" hidden="false" customHeight="false" outlineLevel="0" collapsed="false">
      <c r="G35" s="23" t="str">
        <f aca="false">IF(OR(D35="",E35=""),"",E35*IFERROR(VLOOKUP(F35,Perfil!$B$19:$C$24,2,0),1))</f>
        <v/>
      </c>
      <c r="H35" s="23" t="str">
        <f aca="false">IF(G35="","",G35/100*INDEX(Alimentos!$E$5:$E$40,MATCH($D35,Alimentos!$B$5:$B$40,0)))</f>
        <v/>
      </c>
      <c r="I35" s="23" t="str">
        <f aca="false">IF(G35="","",G35/100*INDEX(Alimentos!$F$5:$F$40,MATCH($D35,Alimentos!$B$5:$B$40,0)))</f>
        <v/>
      </c>
      <c r="J35" s="23" t="str">
        <f aca="false">IF(G35="","",G35/100*INDEX(Alimentos!$G$5:$G$40,MATCH($D35,Alimentos!$B$5:$B$40,0)))</f>
        <v/>
      </c>
      <c r="K35" s="23" t="str">
        <f aca="false">IF(G35="","",G35/100*INDEX(Alimentos!$H$5:$H$40,MATCH($D35,Alimentos!$B$5:$B$40,0)))</f>
        <v/>
      </c>
      <c r="L35" s="24" t="str">
        <f aca="false">IF(OR(A35="",B35=""),"",Perfil!$C$13+(A35-1)*7+MATCH(B35,{"Lunes","Martes","Miércoles","Jueves","Viernes","Sábado","Domingo"},0)-1)</f>
        <v/>
      </c>
    </row>
    <row r="36" customFormat="false" ht="15" hidden="false" customHeight="false" outlineLevel="0" collapsed="false">
      <c r="G36" s="23" t="str">
        <f aca="false">IF(OR(D36="",E36=""),"",E36*IFERROR(VLOOKUP(F36,Perfil!$B$19:$C$24,2,0),1))</f>
        <v/>
      </c>
      <c r="H36" s="23" t="str">
        <f aca="false">IF(G36="","",G36/100*INDEX(Alimentos!$E$5:$E$40,MATCH($D36,Alimentos!$B$5:$B$40,0)))</f>
        <v/>
      </c>
      <c r="I36" s="23" t="str">
        <f aca="false">IF(G36="","",G36/100*INDEX(Alimentos!$F$5:$F$40,MATCH($D36,Alimentos!$B$5:$B$40,0)))</f>
        <v/>
      </c>
      <c r="J36" s="23" t="str">
        <f aca="false">IF(G36="","",G36/100*INDEX(Alimentos!$G$5:$G$40,MATCH($D36,Alimentos!$B$5:$B$40,0)))</f>
        <v/>
      </c>
      <c r="K36" s="23" t="str">
        <f aca="false">IF(G36="","",G36/100*INDEX(Alimentos!$H$5:$H$40,MATCH($D36,Alimentos!$B$5:$B$40,0)))</f>
        <v/>
      </c>
      <c r="L36" s="24" t="str">
        <f aca="false">IF(OR(A36="",B36=""),"",Perfil!$C$13+(A36-1)*7+MATCH(B36,{"Lunes","Martes","Miércoles","Jueves","Viernes","Sábado","Domingo"},0)-1)</f>
        <v/>
      </c>
    </row>
    <row r="37" customFormat="false" ht="15" hidden="false" customHeight="false" outlineLevel="0" collapsed="false">
      <c r="G37" s="23" t="str">
        <f aca="false">IF(OR(D37="",E37=""),"",E37*IFERROR(VLOOKUP(F37,Perfil!$B$19:$C$24,2,0),1))</f>
        <v/>
      </c>
      <c r="H37" s="23" t="str">
        <f aca="false">IF(G37="","",G37/100*INDEX(Alimentos!$E$5:$E$40,MATCH($D37,Alimentos!$B$5:$B$40,0)))</f>
        <v/>
      </c>
      <c r="I37" s="23" t="str">
        <f aca="false">IF(G37="","",G37/100*INDEX(Alimentos!$F$5:$F$40,MATCH($D37,Alimentos!$B$5:$B$40,0)))</f>
        <v/>
      </c>
      <c r="J37" s="23" t="str">
        <f aca="false">IF(G37="","",G37/100*INDEX(Alimentos!$G$5:$G$40,MATCH($D37,Alimentos!$B$5:$B$40,0)))</f>
        <v/>
      </c>
      <c r="K37" s="23" t="str">
        <f aca="false">IF(G37="","",G37/100*INDEX(Alimentos!$H$5:$H$40,MATCH($D37,Alimentos!$B$5:$B$40,0)))</f>
        <v/>
      </c>
      <c r="L37" s="24" t="str">
        <f aca="false">IF(OR(A37="",B37=""),"",Perfil!$C$13+(A37-1)*7+MATCH(B37,{"Lunes","Martes","Miércoles","Jueves","Viernes","Sábado","Domingo"},0)-1)</f>
        <v/>
      </c>
    </row>
    <row r="38" customFormat="false" ht="15" hidden="false" customHeight="false" outlineLevel="0" collapsed="false">
      <c r="G38" s="23" t="str">
        <f aca="false">IF(OR(D38="",E38=""),"",E38*IFERROR(VLOOKUP(F38,Perfil!$B$19:$C$24,2,0),1))</f>
        <v/>
      </c>
      <c r="H38" s="23" t="str">
        <f aca="false">IF(G38="","",G38/100*INDEX(Alimentos!$E$5:$E$40,MATCH($D38,Alimentos!$B$5:$B$40,0)))</f>
        <v/>
      </c>
      <c r="I38" s="23" t="str">
        <f aca="false">IF(G38="","",G38/100*INDEX(Alimentos!$F$5:$F$40,MATCH($D38,Alimentos!$B$5:$B$40,0)))</f>
        <v/>
      </c>
      <c r="J38" s="23" t="str">
        <f aca="false">IF(G38="","",G38/100*INDEX(Alimentos!$G$5:$G$40,MATCH($D38,Alimentos!$B$5:$B$40,0)))</f>
        <v/>
      </c>
      <c r="K38" s="23" t="str">
        <f aca="false">IF(G38="","",G38/100*INDEX(Alimentos!$H$5:$H$40,MATCH($D38,Alimentos!$B$5:$B$40,0)))</f>
        <v/>
      </c>
      <c r="L38" s="24" t="str">
        <f aca="false">IF(OR(A38="",B38=""),"",Perfil!$C$13+(A38-1)*7+MATCH(B38,{"Lunes","Martes","Miércoles","Jueves","Viernes","Sábado","Domingo"},0)-1)</f>
        <v/>
      </c>
    </row>
    <row r="39" customFormat="false" ht="15" hidden="false" customHeight="false" outlineLevel="0" collapsed="false">
      <c r="G39" s="23" t="str">
        <f aca="false">IF(OR(D39="",E39=""),"",E39*IFERROR(VLOOKUP(F39,Perfil!$B$19:$C$24,2,0),1))</f>
        <v/>
      </c>
      <c r="H39" s="23" t="str">
        <f aca="false">IF(G39="","",G39/100*INDEX(Alimentos!$E$5:$E$40,MATCH($D39,Alimentos!$B$5:$B$40,0)))</f>
        <v/>
      </c>
      <c r="I39" s="23" t="str">
        <f aca="false">IF(G39="","",G39/100*INDEX(Alimentos!$F$5:$F$40,MATCH($D39,Alimentos!$B$5:$B$40,0)))</f>
        <v/>
      </c>
      <c r="J39" s="23" t="str">
        <f aca="false">IF(G39="","",G39/100*INDEX(Alimentos!$G$5:$G$40,MATCH($D39,Alimentos!$B$5:$B$40,0)))</f>
        <v/>
      </c>
      <c r="K39" s="23" t="str">
        <f aca="false">IF(G39="","",G39/100*INDEX(Alimentos!$H$5:$H$40,MATCH($D39,Alimentos!$B$5:$B$40,0)))</f>
        <v/>
      </c>
      <c r="L39" s="24" t="str">
        <f aca="false">IF(OR(A39="",B39=""),"",Perfil!$C$13+(A39-1)*7+MATCH(B39,{"Lunes","Martes","Miércoles","Jueves","Viernes","Sábado","Domingo"},0)-1)</f>
        <v/>
      </c>
    </row>
    <row r="40" customFormat="false" ht="15" hidden="false" customHeight="false" outlineLevel="0" collapsed="false">
      <c r="G40" s="23" t="str">
        <f aca="false">IF(OR(D40="",E40=""),"",E40*IFERROR(VLOOKUP(F40,Perfil!$B$19:$C$24,2,0),1))</f>
        <v/>
      </c>
      <c r="H40" s="23" t="str">
        <f aca="false">IF(G40="","",G40/100*INDEX(Alimentos!$E$5:$E$40,MATCH($D40,Alimentos!$B$5:$B$40,0)))</f>
        <v/>
      </c>
      <c r="I40" s="23" t="str">
        <f aca="false">IF(G40="","",G40/100*INDEX(Alimentos!$F$5:$F$40,MATCH($D40,Alimentos!$B$5:$B$40,0)))</f>
        <v/>
      </c>
      <c r="J40" s="23" t="str">
        <f aca="false">IF(G40="","",G40/100*INDEX(Alimentos!$G$5:$G$40,MATCH($D40,Alimentos!$B$5:$B$40,0)))</f>
        <v/>
      </c>
      <c r="K40" s="23" t="str">
        <f aca="false">IF(G40="","",G40/100*INDEX(Alimentos!$H$5:$H$40,MATCH($D40,Alimentos!$B$5:$B$40,0)))</f>
        <v/>
      </c>
      <c r="L40" s="24" t="str">
        <f aca="false">IF(OR(A40="",B40=""),"",Perfil!$C$13+(A40-1)*7+MATCH(B40,{"Lunes","Martes","Miércoles","Jueves","Viernes","Sábado","Domingo"},0)-1)</f>
        <v/>
      </c>
    </row>
    <row r="41" customFormat="false" ht="15" hidden="false" customHeight="false" outlineLevel="0" collapsed="false">
      <c r="G41" s="23" t="str">
        <f aca="false">IF(OR(D41="",E41=""),"",E41*IFERROR(VLOOKUP(F41,Perfil!$B$19:$C$24,2,0),1))</f>
        <v/>
      </c>
      <c r="H41" s="23" t="str">
        <f aca="false">IF(G41="","",G41/100*INDEX(Alimentos!$E$5:$E$40,MATCH($D41,Alimentos!$B$5:$B$40,0)))</f>
        <v/>
      </c>
      <c r="I41" s="23" t="str">
        <f aca="false">IF(G41="","",G41/100*INDEX(Alimentos!$F$5:$F$40,MATCH($D41,Alimentos!$B$5:$B$40,0)))</f>
        <v/>
      </c>
      <c r="J41" s="23" t="str">
        <f aca="false">IF(G41="","",G41/100*INDEX(Alimentos!$G$5:$G$40,MATCH($D41,Alimentos!$B$5:$B$40,0)))</f>
        <v/>
      </c>
      <c r="K41" s="23" t="str">
        <f aca="false">IF(G41="","",G41/100*INDEX(Alimentos!$H$5:$H$40,MATCH($D41,Alimentos!$B$5:$B$40,0)))</f>
        <v/>
      </c>
      <c r="L41" s="24" t="str">
        <f aca="false">IF(OR(A41="",B41=""),"",Perfil!$C$13+(A41-1)*7+MATCH(B41,{"Lunes","Martes","Miércoles","Jueves","Viernes","Sábado","Domingo"},0)-1)</f>
        <v/>
      </c>
    </row>
    <row r="42" customFormat="false" ht="15" hidden="false" customHeight="false" outlineLevel="0" collapsed="false">
      <c r="G42" s="23" t="str">
        <f aca="false">IF(OR(D42="",E42=""),"",E42*IFERROR(VLOOKUP(F42,Perfil!$B$19:$C$24,2,0),1))</f>
        <v/>
      </c>
      <c r="H42" s="23" t="str">
        <f aca="false">IF(G42="","",G42/100*INDEX(Alimentos!$E$5:$E$40,MATCH($D42,Alimentos!$B$5:$B$40,0)))</f>
        <v/>
      </c>
      <c r="I42" s="23" t="str">
        <f aca="false">IF(G42="","",G42/100*INDEX(Alimentos!$F$5:$F$40,MATCH($D42,Alimentos!$B$5:$B$40,0)))</f>
        <v/>
      </c>
      <c r="J42" s="23" t="str">
        <f aca="false">IF(G42="","",G42/100*INDEX(Alimentos!$G$5:$G$40,MATCH($D42,Alimentos!$B$5:$B$40,0)))</f>
        <v/>
      </c>
      <c r="K42" s="23" t="str">
        <f aca="false">IF(G42="","",G42/100*INDEX(Alimentos!$H$5:$H$40,MATCH($D42,Alimentos!$B$5:$B$40,0)))</f>
        <v/>
      </c>
      <c r="L42" s="24" t="str">
        <f aca="false">IF(OR(A42="",B42=""),"",Perfil!$C$13+(A42-1)*7+MATCH(B42,{"Lunes","Martes","Miércoles","Jueves","Viernes","Sábado","Domingo"},0)-1)</f>
        <v/>
      </c>
    </row>
    <row r="43" customFormat="false" ht="15" hidden="false" customHeight="false" outlineLevel="0" collapsed="false">
      <c r="G43" s="23" t="str">
        <f aca="false">IF(OR(D43="",E43=""),"",E43*IFERROR(VLOOKUP(F43,Perfil!$B$19:$C$24,2,0),1))</f>
        <v/>
      </c>
      <c r="H43" s="23" t="str">
        <f aca="false">IF(G43="","",G43/100*INDEX(Alimentos!$E$5:$E$40,MATCH($D43,Alimentos!$B$5:$B$40,0)))</f>
        <v/>
      </c>
      <c r="I43" s="23" t="str">
        <f aca="false">IF(G43="","",G43/100*INDEX(Alimentos!$F$5:$F$40,MATCH($D43,Alimentos!$B$5:$B$40,0)))</f>
        <v/>
      </c>
      <c r="J43" s="23" t="str">
        <f aca="false">IF(G43="","",G43/100*INDEX(Alimentos!$G$5:$G$40,MATCH($D43,Alimentos!$B$5:$B$40,0)))</f>
        <v/>
      </c>
      <c r="K43" s="23" t="str">
        <f aca="false">IF(G43="","",G43/100*INDEX(Alimentos!$H$5:$H$40,MATCH($D43,Alimentos!$B$5:$B$40,0)))</f>
        <v/>
      </c>
      <c r="L43" s="24" t="str">
        <f aca="false">IF(OR(A43="",B43=""),"",Perfil!$C$13+(A43-1)*7+MATCH(B43,{"Lunes","Martes","Miércoles","Jueves","Viernes","Sábado","Domingo"},0)-1)</f>
        <v/>
      </c>
    </row>
    <row r="44" customFormat="false" ht="15" hidden="false" customHeight="false" outlineLevel="0" collapsed="false">
      <c r="G44" s="23" t="str">
        <f aca="false">IF(OR(D44="",E44=""),"",E44*IFERROR(VLOOKUP(F44,Perfil!$B$19:$C$24,2,0),1))</f>
        <v/>
      </c>
      <c r="H44" s="23" t="str">
        <f aca="false">IF(G44="","",G44/100*INDEX(Alimentos!$E$5:$E$40,MATCH($D44,Alimentos!$B$5:$B$40,0)))</f>
        <v/>
      </c>
      <c r="I44" s="23" t="str">
        <f aca="false">IF(G44="","",G44/100*INDEX(Alimentos!$F$5:$F$40,MATCH($D44,Alimentos!$B$5:$B$40,0)))</f>
        <v/>
      </c>
      <c r="J44" s="23" t="str">
        <f aca="false">IF(G44="","",G44/100*INDEX(Alimentos!$G$5:$G$40,MATCH($D44,Alimentos!$B$5:$B$40,0)))</f>
        <v/>
      </c>
      <c r="K44" s="23" t="str">
        <f aca="false">IF(G44="","",G44/100*INDEX(Alimentos!$H$5:$H$40,MATCH($D44,Alimentos!$B$5:$B$40,0)))</f>
        <v/>
      </c>
      <c r="L44" s="24" t="str">
        <f aca="false">IF(OR(A44="",B44=""),"",Perfil!$C$13+(A44-1)*7+MATCH(B44,{"Lunes","Martes","Miércoles","Jueves","Viernes","Sábado","Domingo"},0)-1)</f>
        <v/>
      </c>
    </row>
    <row r="45" customFormat="false" ht="15" hidden="false" customHeight="false" outlineLevel="0" collapsed="false">
      <c r="G45" s="23" t="str">
        <f aca="false">IF(OR(D45="",E45=""),"",E45*IFERROR(VLOOKUP(F45,Perfil!$B$19:$C$24,2,0),1))</f>
        <v/>
      </c>
      <c r="H45" s="23" t="str">
        <f aca="false">IF(G45="","",G45/100*INDEX(Alimentos!$E$5:$E$40,MATCH($D45,Alimentos!$B$5:$B$40,0)))</f>
        <v/>
      </c>
      <c r="I45" s="23" t="str">
        <f aca="false">IF(G45="","",G45/100*INDEX(Alimentos!$F$5:$F$40,MATCH($D45,Alimentos!$B$5:$B$40,0)))</f>
        <v/>
      </c>
      <c r="J45" s="23" t="str">
        <f aca="false">IF(G45="","",G45/100*INDEX(Alimentos!$G$5:$G$40,MATCH($D45,Alimentos!$B$5:$B$40,0)))</f>
        <v/>
      </c>
      <c r="K45" s="23" t="str">
        <f aca="false">IF(G45="","",G45/100*INDEX(Alimentos!$H$5:$H$40,MATCH($D45,Alimentos!$B$5:$B$40,0)))</f>
        <v/>
      </c>
      <c r="L45" s="24" t="str">
        <f aca="false">IF(OR(A45="",B45=""),"",Perfil!$C$13+(A45-1)*7+MATCH(B45,{"Lunes","Martes","Miércoles","Jueves","Viernes","Sábado","Domingo"},0)-1)</f>
        <v/>
      </c>
    </row>
    <row r="46" customFormat="false" ht="15" hidden="false" customHeight="false" outlineLevel="0" collapsed="false">
      <c r="G46" s="23" t="str">
        <f aca="false">IF(OR(D46="",E46=""),"",E46*IFERROR(VLOOKUP(F46,Perfil!$B$19:$C$24,2,0),1))</f>
        <v/>
      </c>
      <c r="H46" s="23" t="str">
        <f aca="false">IF(G46="","",G46/100*INDEX(Alimentos!$E$5:$E$40,MATCH($D46,Alimentos!$B$5:$B$40,0)))</f>
        <v/>
      </c>
      <c r="I46" s="23" t="str">
        <f aca="false">IF(G46="","",G46/100*INDEX(Alimentos!$F$5:$F$40,MATCH($D46,Alimentos!$B$5:$B$40,0)))</f>
        <v/>
      </c>
      <c r="J46" s="23" t="str">
        <f aca="false">IF(G46="","",G46/100*INDEX(Alimentos!$G$5:$G$40,MATCH($D46,Alimentos!$B$5:$B$40,0)))</f>
        <v/>
      </c>
      <c r="K46" s="23" t="str">
        <f aca="false">IF(G46="","",G46/100*INDEX(Alimentos!$H$5:$H$40,MATCH($D46,Alimentos!$B$5:$B$40,0)))</f>
        <v/>
      </c>
      <c r="L46" s="24" t="str">
        <f aca="false">IF(OR(A46="",B46=""),"",Perfil!$C$13+(A46-1)*7+MATCH(B46,{"Lunes","Martes","Miércoles","Jueves","Viernes","Sábado","Domingo"},0)-1)</f>
        <v/>
      </c>
    </row>
    <row r="47" customFormat="false" ht="15" hidden="false" customHeight="false" outlineLevel="0" collapsed="false">
      <c r="G47" s="23" t="str">
        <f aca="false">IF(OR(D47="",E47=""),"",E47*IFERROR(VLOOKUP(F47,Perfil!$B$19:$C$24,2,0),1))</f>
        <v/>
      </c>
      <c r="H47" s="23" t="str">
        <f aca="false">IF(G47="","",G47/100*INDEX(Alimentos!$E$5:$E$40,MATCH($D47,Alimentos!$B$5:$B$40,0)))</f>
        <v/>
      </c>
      <c r="I47" s="23" t="str">
        <f aca="false">IF(G47="","",G47/100*INDEX(Alimentos!$F$5:$F$40,MATCH($D47,Alimentos!$B$5:$B$40,0)))</f>
        <v/>
      </c>
      <c r="J47" s="23" t="str">
        <f aca="false">IF(G47="","",G47/100*INDEX(Alimentos!$G$5:$G$40,MATCH($D47,Alimentos!$B$5:$B$40,0)))</f>
        <v/>
      </c>
      <c r="K47" s="23" t="str">
        <f aca="false">IF(G47="","",G47/100*INDEX(Alimentos!$H$5:$H$40,MATCH($D47,Alimentos!$B$5:$B$40,0)))</f>
        <v/>
      </c>
      <c r="L47" s="24" t="str">
        <f aca="false">IF(OR(A47="",B47=""),"",Perfil!$C$13+(A47-1)*7+MATCH(B47,{"Lunes","Martes","Miércoles","Jueves","Viernes","Sábado","Domingo"},0)-1)</f>
        <v/>
      </c>
    </row>
    <row r="48" customFormat="false" ht="15" hidden="false" customHeight="false" outlineLevel="0" collapsed="false">
      <c r="G48" s="23" t="str">
        <f aca="false">IF(OR(D48="",E48=""),"",E48*IFERROR(VLOOKUP(F48,Perfil!$B$19:$C$24,2,0),1))</f>
        <v/>
      </c>
      <c r="H48" s="23" t="str">
        <f aca="false">IF(G48="","",G48/100*INDEX(Alimentos!$E$5:$E$40,MATCH($D48,Alimentos!$B$5:$B$40,0)))</f>
        <v/>
      </c>
      <c r="I48" s="23" t="str">
        <f aca="false">IF(G48="","",G48/100*INDEX(Alimentos!$F$5:$F$40,MATCH($D48,Alimentos!$B$5:$B$40,0)))</f>
        <v/>
      </c>
      <c r="J48" s="23" t="str">
        <f aca="false">IF(G48="","",G48/100*INDEX(Alimentos!$G$5:$G$40,MATCH($D48,Alimentos!$B$5:$B$40,0)))</f>
        <v/>
      </c>
      <c r="K48" s="23" t="str">
        <f aca="false">IF(G48="","",G48/100*INDEX(Alimentos!$H$5:$H$40,MATCH($D48,Alimentos!$B$5:$B$40,0)))</f>
        <v/>
      </c>
      <c r="L48" s="24" t="str">
        <f aca="false">IF(OR(A48="",B48=""),"",Perfil!$C$13+(A48-1)*7+MATCH(B48,{"Lunes","Martes","Miércoles","Jueves","Viernes","Sábado","Domingo"},0)-1)</f>
        <v/>
      </c>
    </row>
    <row r="49" customFormat="false" ht="15" hidden="false" customHeight="false" outlineLevel="0" collapsed="false">
      <c r="G49" s="23" t="str">
        <f aca="false">IF(OR(D49="",E49=""),"",E49*IFERROR(VLOOKUP(F49,Perfil!$B$19:$C$24,2,0),1))</f>
        <v/>
      </c>
      <c r="H49" s="23" t="str">
        <f aca="false">IF(G49="","",G49/100*INDEX(Alimentos!$E$5:$E$40,MATCH($D49,Alimentos!$B$5:$B$40,0)))</f>
        <v/>
      </c>
      <c r="I49" s="23" t="str">
        <f aca="false">IF(G49="","",G49/100*INDEX(Alimentos!$F$5:$F$40,MATCH($D49,Alimentos!$B$5:$B$40,0)))</f>
        <v/>
      </c>
      <c r="J49" s="23" t="str">
        <f aca="false">IF(G49="","",G49/100*INDEX(Alimentos!$G$5:$G$40,MATCH($D49,Alimentos!$B$5:$B$40,0)))</f>
        <v/>
      </c>
      <c r="K49" s="23" t="str">
        <f aca="false">IF(G49="","",G49/100*INDEX(Alimentos!$H$5:$H$40,MATCH($D49,Alimentos!$B$5:$B$40,0)))</f>
        <v/>
      </c>
      <c r="L49" s="24" t="str">
        <f aca="false">IF(OR(A49="",B49=""),"",Perfil!$C$13+(A49-1)*7+MATCH(B49,{"Lunes","Martes","Miércoles","Jueves","Viernes","Sábado","Domingo"},0)-1)</f>
        <v/>
      </c>
    </row>
    <row r="50" customFormat="false" ht="15" hidden="false" customHeight="false" outlineLevel="0" collapsed="false">
      <c r="G50" s="23" t="str">
        <f aca="false">IF(OR(D50="",E50=""),"",E50*IFERROR(VLOOKUP(F50,Perfil!$B$19:$C$24,2,0),1))</f>
        <v/>
      </c>
      <c r="H50" s="23" t="str">
        <f aca="false">IF(G50="","",G50/100*INDEX(Alimentos!$E$5:$E$40,MATCH($D50,Alimentos!$B$5:$B$40,0)))</f>
        <v/>
      </c>
      <c r="I50" s="23" t="str">
        <f aca="false">IF(G50="","",G50/100*INDEX(Alimentos!$F$5:$F$40,MATCH($D50,Alimentos!$B$5:$B$40,0)))</f>
        <v/>
      </c>
      <c r="J50" s="23" t="str">
        <f aca="false">IF(G50="","",G50/100*INDEX(Alimentos!$G$5:$G$40,MATCH($D50,Alimentos!$B$5:$B$40,0)))</f>
        <v/>
      </c>
      <c r="K50" s="23" t="str">
        <f aca="false">IF(G50="","",G50/100*INDEX(Alimentos!$H$5:$H$40,MATCH($D50,Alimentos!$B$5:$B$40,0)))</f>
        <v/>
      </c>
      <c r="L50" s="24" t="str">
        <f aca="false">IF(OR(A50="",B50=""),"",Perfil!$C$13+(A50-1)*7+MATCH(B50,{"Lunes","Martes","Miércoles","Jueves","Viernes","Sábado","Domingo"},0)-1)</f>
        <v/>
      </c>
    </row>
    <row r="51" customFormat="false" ht="15" hidden="false" customHeight="false" outlineLevel="0" collapsed="false">
      <c r="G51" s="23" t="str">
        <f aca="false">IF(OR(D51="",E51=""),"",E51*IFERROR(VLOOKUP(F51,Perfil!$B$19:$C$24,2,0),1))</f>
        <v/>
      </c>
      <c r="H51" s="23" t="str">
        <f aca="false">IF(G51="","",G51/100*INDEX(Alimentos!$E$5:$E$40,MATCH($D51,Alimentos!$B$5:$B$40,0)))</f>
        <v/>
      </c>
      <c r="I51" s="23" t="str">
        <f aca="false">IF(G51="","",G51/100*INDEX(Alimentos!$F$5:$F$40,MATCH($D51,Alimentos!$B$5:$B$40,0)))</f>
        <v/>
      </c>
      <c r="J51" s="23" t="str">
        <f aca="false">IF(G51="","",G51/100*INDEX(Alimentos!$G$5:$G$40,MATCH($D51,Alimentos!$B$5:$B$40,0)))</f>
        <v/>
      </c>
      <c r="K51" s="23" t="str">
        <f aca="false">IF(G51="","",G51/100*INDEX(Alimentos!$H$5:$H$40,MATCH($D51,Alimentos!$B$5:$B$40,0)))</f>
        <v/>
      </c>
      <c r="L51" s="24" t="str">
        <f aca="false">IF(OR(A51="",B51=""),"",Perfil!$C$13+(A51-1)*7+MATCH(B51,{"Lunes","Martes","Miércoles","Jueves","Viernes","Sábado","Domingo"},0)-1)</f>
        <v/>
      </c>
    </row>
    <row r="52" customFormat="false" ht="15" hidden="false" customHeight="false" outlineLevel="0" collapsed="false">
      <c r="G52" s="23" t="str">
        <f aca="false">IF(OR(D52="",E52=""),"",E52*IFERROR(VLOOKUP(F52,Perfil!$B$19:$C$24,2,0),1))</f>
        <v/>
      </c>
      <c r="H52" s="23" t="str">
        <f aca="false">IF(G52="","",G52/100*INDEX(Alimentos!$E$5:$E$40,MATCH($D52,Alimentos!$B$5:$B$40,0)))</f>
        <v/>
      </c>
      <c r="I52" s="23" t="str">
        <f aca="false">IF(G52="","",G52/100*INDEX(Alimentos!$F$5:$F$40,MATCH($D52,Alimentos!$B$5:$B$40,0)))</f>
        <v/>
      </c>
      <c r="J52" s="23" t="str">
        <f aca="false">IF(G52="","",G52/100*INDEX(Alimentos!$G$5:$G$40,MATCH($D52,Alimentos!$B$5:$B$40,0)))</f>
        <v/>
      </c>
      <c r="K52" s="23" t="str">
        <f aca="false">IF(G52="","",G52/100*INDEX(Alimentos!$H$5:$H$40,MATCH($D52,Alimentos!$B$5:$B$40,0)))</f>
        <v/>
      </c>
      <c r="L52" s="24" t="str">
        <f aca="false">IF(OR(A52="",B52=""),"",Perfil!$C$13+(A52-1)*7+MATCH(B52,{"Lunes","Martes","Miércoles","Jueves","Viernes","Sábado","Domingo"},0)-1)</f>
        <v/>
      </c>
    </row>
    <row r="53" customFormat="false" ht="15" hidden="false" customHeight="false" outlineLevel="0" collapsed="false">
      <c r="G53" s="23" t="str">
        <f aca="false">IF(OR(D53="",E53=""),"",E53*IFERROR(VLOOKUP(F53,Perfil!$B$19:$C$24,2,0),1))</f>
        <v/>
      </c>
      <c r="H53" s="23" t="str">
        <f aca="false">IF(G53="","",G53/100*INDEX(Alimentos!$E$5:$E$40,MATCH($D53,Alimentos!$B$5:$B$40,0)))</f>
        <v/>
      </c>
      <c r="I53" s="23" t="str">
        <f aca="false">IF(G53="","",G53/100*INDEX(Alimentos!$F$5:$F$40,MATCH($D53,Alimentos!$B$5:$B$40,0)))</f>
        <v/>
      </c>
      <c r="J53" s="23" t="str">
        <f aca="false">IF(G53="","",G53/100*INDEX(Alimentos!$G$5:$G$40,MATCH($D53,Alimentos!$B$5:$B$40,0)))</f>
        <v/>
      </c>
      <c r="K53" s="23" t="str">
        <f aca="false">IF(G53="","",G53/100*INDEX(Alimentos!$H$5:$H$40,MATCH($D53,Alimentos!$B$5:$B$40,0)))</f>
        <v/>
      </c>
      <c r="L53" s="24" t="str">
        <f aca="false">IF(OR(A53="",B53=""),"",Perfil!$C$13+(A53-1)*7+MATCH(B53,{"Lunes","Martes","Miércoles","Jueves","Viernes","Sábado","Domingo"},0)-1)</f>
        <v/>
      </c>
    </row>
    <row r="54" customFormat="false" ht="15" hidden="false" customHeight="false" outlineLevel="0" collapsed="false">
      <c r="G54" s="23" t="str">
        <f aca="false">IF(OR(D54="",E54=""),"",E54*IFERROR(VLOOKUP(F54,Perfil!$B$19:$C$24,2,0),1))</f>
        <v/>
      </c>
      <c r="H54" s="23" t="str">
        <f aca="false">IF(G54="","",G54/100*INDEX(Alimentos!$E$5:$E$40,MATCH($D54,Alimentos!$B$5:$B$40,0)))</f>
        <v/>
      </c>
      <c r="I54" s="23" t="str">
        <f aca="false">IF(G54="","",G54/100*INDEX(Alimentos!$F$5:$F$40,MATCH($D54,Alimentos!$B$5:$B$40,0)))</f>
        <v/>
      </c>
      <c r="J54" s="23" t="str">
        <f aca="false">IF(G54="","",G54/100*INDEX(Alimentos!$G$5:$G$40,MATCH($D54,Alimentos!$B$5:$B$40,0)))</f>
        <v/>
      </c>
      <c r="K54" s="23" t="str">
        <f aca="false">IF(G54="","",G54/100*INDEX(Alimentos!$H$5:$H$40,MATCH($D54,Alimentos!$B$5:$B$40,0)))</f>
        <v/>
      </c>
      <c r="L54" s="24" t="str">
        <f aca="false">IF(OR(A54="",B54=""),"",Perfil!$C$13+(A54-1)*7+MATCH(B54,{"Lunes","Martes","Miércoles","Jueves","Viernes","Sábado","Domingo"},0)-1)</f>
        <v/>
      </c>
    </row>
    <row r="55" customFormat="false" ht="15" hidden="false" customHeight="false" outlineLevel="0" collapsed="false">
      <c r="G55" s="23" t="str">
        <f aca="false">IF(OR(D55="",E55=""),"",E55*IFERROR(VLOOKUP(F55,Perfil!$B$19:$C$24,2,0),1))</f>
        <v/>
      </c>
      <c r="H55" s="23" t="str">
        <f aca="false">IF(G55="","",G55/100*INDEX(Alimentos!$E$5:$E$40,MATCH($D55,Alimentos!$B$5:$B$40,0)))</f>
        <v/>
      </c>
      <c r="I55" s="23" t="str">
        <f aca="false">IF(G55="","",G55/100*INDEX(Alimentos!$F$5:$F$40,MATCH($D55,Alimentos!$B$5:$B$40,0)))</f>
        <v/>
      </c>
      <c r="J55" s="23" t="str">
        <f aca="false">IF(G55="","",G55/100*INDEX(Alimentos!$G$5:$G$40,MATCH($D55,Alimentos!$B$5:$B$40,0)))</f>
        <v/>
      </c>
      <c r="K55" s="23" t="str">
        <f aca="false">IF(G55="","",G55/100*INDEX(Alimentos!$H$5:$H$40,MATCH($D55,Alimentos!$B$5:$B$40,0)))</f>
        <v/>
      </c>
      <c r="L55" s="24" t="str">
        <f aca="false">IF(OR(A55="",B55=""),"",Perfil!$C$13+(A55-1)*7+MATCH(B55,{"Lunes","Martes","Miércoles","Jueves","Viernes","Sábado","Domingo"},0)-1)</f>
        <v/>
      </c>
    </row>
    <row r="56" customFormat="false" ht="15" hidden="false" customHeight="false" outlineLevel="0" collapsed="false">
      <c r="G56" s="23" t="str">
        <f aca="false">IF(OR(D56="",E56=""),"",E56*IFERROR(VLOOKUP(F56,Perfil!$B$19:$C$24,2,0),1))</f>
        <v/>
      </c>
      <c r="H56" s="23" t="str">
        <f aca="false">IF(G56="","",G56/100*INDEX(Alimentos!$E$5:$E$40,MATCH($D56,Alimentos!$B$5:$B$40,0)))</f>
        <v/>
      </c>
      <c r="I56" s="23" t="str">
        <f aca="false">IF(G56="","",G56/100*INDEX(Alimentos!$F$5:$F$40,MATCH($D56,Alimentos!$B$5:$B$40,0)))</f>
        <v/>
      </c>
      <c r="J56" s="23" t="str">
        <f aca="false">IF(G56="","",G56/100*INDEX(Alimentos!$G$5:$G$40,MATCH($D56,Alimentos!$B$5:$B$40,0)))</f>
        <v/>
      </c>
      <c r="K56" s="23" t="str">
        <f aca="false">IF(G56="","",G56/100*INDEX(Alimentos!$H$5:$H$40,MATCH($D56,Alimentos!$B$5:$B$40,0)))</f>
        <v/>
      </c>
      <c r="L56" s="24" t="str">
        <f aca="false">IF(OR(A56="",B56=""),"",Perfil!$C$13+(A56-1)*7+MATCH(B56,{"Lunes","Martes","Miércoles","Jueves","Viernes","Sábado","Domingo"},0)-1)</f>
        <v/>
      </c>
    </row>
    <row r="57" customFormat="false" ht="15" hidden="false" customHeight="false" outlineLevel="0" collapsed="false">
      <c r="G57" s="23" t="str">
        <f aca="false">IF(OR(D57="",E57=""),"",E57*IFERROR(VLOOKUP(F57,Perfil!$B$19:$C$24,2,0),1))</f>
        <v/>
      </c>
      <c r="H57" s="23" t="str">
        <f aca="false">IF(G57="","",G57/100*INDEX(Alimentos!$E$5:$E$40,MATCH($D57,Alimentos!$B$5:$B$40,0)))</f>
        <v/>
      </c>
      <c r="I57" s="23" t="str">
        <f aca="false">IF(G57="","",G57/100*INDEX(Alimentos!$F$5:$F$40,MATCH($D57,Alimentos!$B$5:$B$40,0)))</f>
        <v/>
      </c>
      <c r="J57" s="23" t="str">
        <f aca="false">IF(G57="","",G57/100*INDEX(Alimentos!$G$5:$G$40,MATCH($D57,Alimentos!$B$5:$B$40,0)))</f>
        <v/>
      </c>
      <c r="K57" s="23" t="str">
        <f aca="false">IF(G57="","",G57/100*INDEX(Alimentos!$H$5:$H$40,MATCH($D57,Alimentos!$B$5:$B$40,0)))</f>
        <v/>
      </c>
      <c r="L57" s="24" t="str">
        <f aca="false">IF(OR(A57="",B57=""),"",Perfil!$C$13+(A57-1)*7+MATCH(B57,{"Lunes","Martes","Miércoles","Jueves","Viernes","Sábado","Domingo"},0)-1)</f>
        <v/>
      </c>
    </row>
    <row r="58" customFormat="false" ht="15" hidden="false" customHeight="false" outlineLevel="0" collapsed="false">
      <c r="G58" s="23" t="str">
        <f aca="false">IF(OR(D58="",E58=""),"",E58*IFERROR(VLOOKUP(F58,Perfil!$B$19:$C$24,2,0),1))</f>
        <v/>
      </c>
      <c r="H58" s="23" t="str">
        <f aca="false">IF(G58="","",G58/100*INDEX(Alimentos!$E$5:$E$40,MATCH($D58,Alimentos!$B$5:$B$40,0)))</f>
        <v/>
      </c>
      <c r="I58" s="23" t="str">
        <f aca="false">IF(G58="","",G58/100*INDEX(Alimentos!$F$5:$F$40,MATCH($D58,Alimentos!$B$5:$B$40,0)))</f>
        <v/>
      </c>
      <c r="J58" s="23" t="str">
        <f aca="false">IF(G58="","",G58/100*INDEX(Alimentos!$G$5:$G$40,MATCH($D58,Alimentos!$B$5:$B$40,0)))</f>
        <v/>
      </c>
      <c r="K58" s="23" t="str">
        <f aca="false">IF(G58="","",G58/100*INDEX(Alimentos!$H$5:$H$40,MATCH($D58,Alimentos!$B$5:$B$40,0)))</f>
        <v/>
      </c>
      <c r="L58" s="24" t="str">
        <f aca="false">IF(OR(A58="",B58=""),"",Perfil!$C$13+(A58-1)*7+MATCH(B58,{"Lunes","Martes","Miércoles","Jueves","Viernes","Sábado","Domingo"},0)-1)</f>
        <v/>
      </c>
    </row>
    <row r="59" customFormat="false" ht="15" hidden="false" customHeight="false" outlineLevel="0" collapsed="false">
      <c r="G59" s="23" t="str">
        <f aca="false">IF(OR(D59="",E59=""),"",E59*IFERROR(VLOOKUP(F59,Perfil!$B$19:$C$24,2,0),1))</f>
        <v/>
      </c>
      <c r="H59" s="23" t="str">
        <f aca="false">IF(G59="","",G59/100*INDEX(Alimentos!$E$5:$E$40,MATCH($D59,Alimentos!$B$5:$B$40,0)))</f>
        <v/>
      </c>
      <c r="I59" s="23" t="str">
        <f aca="false">IF(G59="","",G59/100*INDEX(Alimentos!$F$5:$F$40,MATCH($D59,Alimentos!$B$5:$B$40,0)))</f>
        <v/>
      </c>
      <c r="J59" s="23" t="str">
        <f aca="false">IF(G59="","",G59/100*INDEX(Alimentos!$G$5:$G$40,MATCH($D59,Alimentos!$B$5:$B$40,0)))</f>
        <v/>
      </c>
      <c r="K59" s="23" t="str">
        <f aca="false">IF(G59="","",G59/100*INDEX(Alimentos!$H$5:$H$40,MATCH($D59,Alimentos!$B$5:$B$40,0)))</f>
        <v/>
      </c>
      <c r="L59" s="24" t="str">
        <f aca="false">IF(OR(A59="",B59=""),"",Perfil!$C$13+(A59-1)*7+MATCH(B59,{"Lunes","Martes","Miércoles","Jueves","Viernes","Sábado","Domingo"},0)-1)</f>
        <v/>
      </c>
    </row>
    <row r="60" customFormat="false" ht="15" hidden="false" customHeight="false" outlineLevel="0" collapsed="false">
      <c r="G60" s="23" t="str">
        <f aca="false">IF(OR(D60="",E60=""),"",E60*IFERROR(VLOOKUP(F60,Perfil!$B$19:$C$24,2,0),1))</f>
        <v/>
      </c>
      <c r="H60" s="23" t="str">
        <f aca="false">IF(G60="","",G60/100*INDEX(Alimentos!$E$5:$E$40,MATCH($D60,Alimentos!$B$5:$B$40,0)))</f>
        <v/>
      </c>
      <c r="I60" s="23" t="str">
        <f aca="false">IF(G60="","",G60/100*INDEX(Alimentos!$F$5:$F$40,MATCH($D60,Alimentos!$B$5:$B$40,0)))</f>
        <v/>
      </c>
      <c r="J60" s="23" t="str">
        <f aca="false">IF(G60="","",G60/100*INDEX(Alimentos!$G$5:$G$40,MATCH($D60,Alimentos!$B$5:$B$40,0)))</f>
        <v/>
      </c>
      <c r="K60" s="23" t="str">
        <f aca="false">IF(G60="","",G60/100*INDEX(Alimentos!$H$5:$H$40,MATCH($D60,Alimentos!$B$5:$B$40,0)))</f>
        <v/>
      </c>
      <c r="L60" s="24" t="str">
        <f aca="false">IF(OR(A60="",B60=""),"",Perfil!$C$13+(A60-1)*7+MATCH(B60,{"Lunes","Martes","Miércoles","Jueves","Viernes","Sábado","Domingo"},0)-1)</f>
        <v/>
      </c>
    </row>
    <row r="61" customFormat="false" ht="15" hidden="false" customHeight="false" outlineLevel="0" collapsed="false">
      <c r="G61" s="23" t="str">
        <f aca="false">IF(OR(D61="",E61=""),"",E61*IFERROR(VLOOKUP(F61,Perfil!$B$19:$C$24,2,0),1))</f>
        <v/>
      </c>
      <c r="H61" s="23" t="str">
        <f aca="false">IF(G61="","",G61/100*INDEX(Alimentos!$E$5:$E$40,MATCH($D61,Alimentos!$B$5:$B$40,0)))</f>
        <v/>
      </c>
      <c r="I61" s="23" t="str">
        <f aca="false">IF(G61="","",G61/100*INDEX(Alimentos!$F$5:$F$40,MATCH($D61,Alimentos!$B$5:$B$40,0)))</f>
        <v/>
      </c>
      <c r="J61" s="23" t="str">
        <f aca="false">IF(G61="","",G61/100*INDEX(Alimentos!$G$5:$G$40,MATCH($D61,Alimentos!$B$5:$B$40,0)))</f>
        <v/>
      </c>
      <c r="K61" s="23" t="str">
        <f aca="false">IF(G61="","",G61/100*INDEX(Alimentos!$H$5:$H$40,MATCH($D61,Alimentos!$B$5:$B$40,0)))</f>
        <v/>
      </c>
      <c r="L61" s="24" t="str">
        <f aca="false">IF(OR(A61="",B61=""),"",Perfil!$C$13+(A61-1)*7+MATCH(B61,{"Lunes","Martes","Miércoles","Jueves","Viernes","Sábado","Domingo"},0)-1)</f>
        <v/>
      </c>
    </row>
    <row r="62" customFormat="false" ht="15" hidden="false" customHeight="false" outlineLevel="0" collapsed="false">
      <c r="G62" s="23" t="str">
        <f aca="false">IF(OR(D62="",E62=""),"",E62*IFERROR(VLOOKUP(F62,Perfil!$B$19:$C$24,2,0),1))</f>
        <v/>
      </c>
      <c r="H62" s="23" t="str">
        <f aca="false">IF(G62="","",G62/100*INDEX(Alimentos!$E$5:$E$40,MATCH($D62,Alimentos!$B$5:$B$40,0)))</f>
        <v/>
      </c>
      <c r="I62" s="23" t="str">
        <f aca="false">IF(G62="","",G62/100*INDEX(Alimentos!$F$5:$F$40,MATCH($D62,Alimentos!$B$5:$B$40,0)))</f>
        <v/>
      </c>
      <c r="J62" s="23" t="str">
        <f aca="false">IF(G62="","",G62/100*INDEX(Alimentos!$G$5:$G$40,MATCH($D62,Alimentos!$B$5:$B$40,0)))</f>
        <v/>
      </c>
      <c r="K62" s="23" t="str">
        <f aca="false">IF(G62="","",G62/100*INDEX(Alimentos!$H$5:$H$40,MATCH($D62,Alimentos!$B$5:$B$40,0)))</f>
        <v/>
      </c>
      <c r="L62" s="24" t="str">
        <f aca="false">IF(OR(A62="",B62=""),"",Perfil!$C$13+(A62-1)*7+MATCH(B62,{"Lunes","Martes","Miércoles","Jueves","Viernes","Sábado","Domingo"},0)-1)</f>
        <v/>
      </c>
    </row>
    <row r="63" customFormat="false" ht="15" hidden="false" customHeight="false" outlineLevel="0" collapsed="false">
      <c r="G63" s="23" t="str">
        <f aca="false">IF(OR(D63="",E63=""),"",E63*IFERROR(VLOOKUP(F63,Perfil!$B$19:$C$24,2,0),1))</f>
        <v/>
      </c>
      <c r="H63" s="23" t="str">
        <f aca="false">IF(G63="","",G63/100*INDEX(Alimentos!$E$5:$E$40,MATCH($D63,Alimentos!$B$5:$B$40,0)))</f>
        <v/>
      </c>
      <c r="I63" s="23" t="str">
        <f aca="false">IF(G63="","",G63/100*INDEX(Alimentos!$F$5:$F$40,MATCH($D63,Alimentos!$B$5:$B$40,0)))</f>
        <v/>
      </c>
      <c r="J63" s="23" t="str">
        <f aca="false">IF(G63="","",G63/100*INDEX(Alimentos!$G$5:$G$40,MATCH($D63,Alimentos!$B$5:$B$40,0)))</f>
        <v/>
      </c>
      <c r="K63" s="23" t="str">
        <f aca="false">IF(G63="","",G63/100*INDEX(Alimentos!$H$5:$H$40,MATCH($D63,Alimentos!$B$5:$B$40,0)))</f>
        <v/>
      </c>
      <c r="L63" s="24" t="str">
        <f aca="false">IF(OR(A63="",B63=""),"",Perfil!$C$13+(A63-1)*7+MATCH(B63,{"Lunes","Martes","Miércoles","Jueves","Viernes","Sábado","Domingo"},0)-1)</f>
        <v/>
      </c>
    </row>
    <row r="64" customFormat="false" ht="15" hidden="false" customHeight="false" outlineLevel="0" collapsed="false">
      <c r="G64" s="23" t="str">
        <f aca="false">IF(OR(D64="",E64=""),"",E64*IFERROR(VLOOKUP(F64,Perfil!$B$19:$C$24,2,0),1))</f>
        <v/>
      </c>
      <c r="H64" s="23" t="str">
        <f aca="false">IF(G64="","",G64/100*INDEX(Alimentos!$E$5:$E$40,MATCH($D64,Alimentos!$B$5:$B$40,0)))</f>
        <v/>
      </c>
      <c r="I64" s="23" t="str">
        <f aca="false">IF(G64="","",G64/100*INDEX(Alimentos!$F$5:$F$40,MATCH($D64,Alimentos!$B$5:$B$40,0)))</f>
        <v/>
      </c>
      <c r="J64" s="23" t="str">
        <f aca="false">IF(G64="","",G64/100*INDEX(Alimentos!$G$5:$G$40,MATCH($D64,Alimentos!$B$5:$B$40,0)))</f>
        <v/>
      </c>
      <c r="K64" s="23" t="str">
        <f aca="false">IF(G64="","",G64/100*INDEX(Alimentos!$H$5:$H$40,MATCH($D64,Alimentos!$B$5:$B$40,0)))</f>
        <v/>
      </c>
      <c r="L64" s="24" t="str">
        <f aca="false">IF(OR(A64="",B64=""),"",Perfil!$C$13+(A64-1)*7+MATCH(B64,{"Lunes","Martes","Miércoles","Jueves","Viernes","Sábado","Domingo"},0)-1)</f>
        <v/>
      </c>
    </row>
    <row r="65" customFormat="false" ht="15" hidden="false" customHeight="false" outlineLevel="0" collapsed="false">
      <c r="G65" s="23" t="str">
        <f aca="false">IF(OR(D65="",E65=""),"",E65*IFERROR(VLOOKUP(F65,Perfil!$B$19:$C$24,2,0),1))</f>
        <v/>
      </c>
      <c r="H65" s="23" t="str">
        <f aca="false">IF(G65="","",G65/100*INDEX(Alimentos!$E$5:$E$40,MATCH($D65,Alimentos!$B$5:$B$40,0)))</f>
        <v/>
      </c>
      <c r="I65" s="23" t="str">
        <f aca="false">IF(G65="","",G65/100*INDEX(Alimentos!$F$5:$F$40,MATCH($D65,Alimentos!$B$5:$B$40,0)))</f>
        <v/>
      </c>
      <c r="J65" s="23" t="str">
        <f aca="false">IF(G65="","",G65/100*INDEX(Alimentos!$G$5:$G$40,MATCH($D65,Alimentos!$B$5:$B$40,0)))</f>
        <v/>
      </c>
      <c r="K65" s="23" t="str">
        <f aca="false">IF(G65="","",G65/100*INDEX(Alimentos!$H$5:$H$40,MATCH($D65,Alimentos!$B$5:$B$40,0)))</f>
        <v/>
      </c>
      <c r="L65" s="24" t="str">
        <f aca="false">IF(OR(A65="",B65=""),"",Perfil!$C$13+(A65-1)*7+MATCH(B65,{"Lunes","Martes","Miércoles","Jueves","Viernes","Sábado","Domingo"},0)-1)</f>
        <v/>
      </c>
    </row>
    <row r="66" customFormat="false" ht="15" hidden="false" customHeight="false" outlineLevel="0" collapsed="false">
      <c r="G66" s="23" t="str">
        <f aca="false">IF(OR(D66="",E66=""),"",E66*IFERROR(VLOOKUP(F66,Perfil!$B$19:$C$24,2,0),1))</f>
        <v/>
      </c>
      <c r="H66" s="23" t="str">
        <f aca="false">IF(G66="","",G66/100*INDEX(Alimentos!$E$5:$E$40,MATCH($D66,Alimentos!$B$5:$B$40,0)))</f>
        <v/>
      </c>
      <c r="I66" s="23" t="str">
        <f aca="false">IF(G66="","",G66/100*INDEX(Alimentos!$F$5:$F$40,MATCH($D66,Alimentos!$B$5:$B$40,0)))</f>
        <v/>
      </c>
      <c r="J66" s="23" t="str">
        <f aca="false">IF(G66="","",G66/100*INDEX(Alimentos!$G$5:$G$40,MATCH($D66,Alimentos!$B$5:$B$40,0)))</f>
        <v/>
      </c>
      <c r="K66" s="23" t="str">
        <f aca="false">IF(G66="","",G66/100*INDEX(Alimentos!$H$5:$H$40,MATCH($D66,Alimentos!$B$5:$B$40,0)))</f>
        <v/>
      </c>
      <c r="L66" s="24" t="str">
        <f aca="false">IF(OR(A66="",B66=""),"",Perfil!$C$13+(A66-1)*7+MATCH(B66,{"Lunes","Martes","Miércoles","Jueves","Viernes","Sábado","Domingo"},0)-1)</f>
        <v/>
      </c>
    </row>
    <row r="67" customFormat="false" ht="15" hidden="false" customHeight="false" outlineLevel="0" collapsed="false">
      <c r="G67" s="23" t="str">
        <f aca="false">IF(OR(D67="",E67=""),"",E67*IFERROR(VLOOKUP(F67,Perfil!$B$19:$C$24,2,0),1))</f>
        <v/>
      </c>
      <c r="H67" s="23" t="str">
        <f aca="false">IF(G67="","",G67/100*INDEX(Alimentos!$E$5:$E$40,MATCH($D67,Alimentos!$B$5:$B$40,0)))</f>
        <v/>
      </c>
      <c r="I67" s="23" t="str">
        <f aca="false">IF(G67="","",G67/100*INDEX(Alimentos!$F$5:$F$40,MATCH($D67,Alimentos!$B$5:$B$40,0)))</f>
        <v/>
      </c>
      <c r="J67" s="23" t="str">
        <f aca="false">IF(G67="","",G67/100*INDEX(Alimentos!$G$5:$G$40,MATCH($D67,Alimentos!$B$5:$B$40,0)))</f>
        <v/>
      </c>
      <c r="K67" s="23" t="str">
        <f aca="false">IF(G67="","",G67/100*INDEX(Alimentos!$H$5:$H$40,MATCH($D67,Alimentos!$B$5:$B$40,0)))</f>
        <v/>
      </c>
      <c r="L67" s="24" t="str">
        <f aca="false">IF(OR(A67="",B67=""),"",Perfil!$C$13+(A67-1)*7+MATCH(B67,{"Lunes","Martes","Miércoles","Jueves","Viernes","Sábado","Domingo"},0)-1)</f>
        <v/>
      </c>
    </row>
    <row r="68" customFormat="false" ht="15" hidden="false" customHeight="false" outlineLevel="0" collapsed="false">
      <c r="G68" s="23" t="str">
        <f aca="false">IF(OR(D68="",E68=""),"",E68*IFERROR(VLOOKUP(F68,Perfil!$B$19:$C$24,2,0),1))</f>
        <v/>
      </c>
      <c r="H68" s="23" t="str">
        <f aca="false">IF(G68="","",G68/100*INDEX(Alimentos!$E$5:$E$40,MATCH($D68,Alimentos!$B$5:$B$40,0)))</f>
        <v/>
      </c>
      <c r="I68" s="23" t="str">
        <f aca="false">IF(G68="","",G68/100*INDEX(Alimentos!$F$5:$F$40,MATCH($D68,Alimentos!$B$5:$B$40,0)))</f>
        <v/>
      </c>
      <c r="J68" s="23" t="str">
        <f aca="false">IF(G68="","",G68/100*INDEX(Alimentos!$G$5:$G$40,MATCH($D68,Alimentos!$B$5:$B$40,0)))</f>
        <v/>
      </c>
      <c r="K68" s="23" t="str">
        <f aca="false">IF(G68="","",G68/100*INDEX(Alimentos!$H$5:$H$40,MATCH($D68,Alimentos!$B$5:$B$40,0)))</f>
        <v/>
      </c>
      <c r="L68" s="24" t="str">
        <f aca="false">IF(OR(A68="",B68=""),"",Perfil!$C$13+(A68-1)*7+MATCH(B68,{"Lunes","Martes","Miércoles","Jueves","Viernes","Sábado","Domingo"},0)-1)</f>
        <v/>
      </c>
    </row>
    <row r="69" customFormat="false" ht="15" hidden="false" customHeight="false" outlineLevel="0" collapsed="false">
      <c r="G69" s="23" t="str">
        <f aca="false">IF(OR(D69="",E69=""),"",E69*IFERROR(VLOOKUP(F69,Perfil!$B$19:$C$24,2,0),1))</f>
        <v/>
      </c>
      <c r="H69" s="23" t="str">
        <f aca="false">IF(G69="","",G69/100*INDEX(Alimentos!$E$5:$E$40,MATCH($D69,Alimentos!$B$5:$B$40,0)))</f>
        <v/>
      </c>
      <c r="I69" s="23" t="str">
        <f aca="false">IF(G69="","",G69/100*INDEX(Alimentos!$F$5:$F$40,MATCH($D69,Alimentos!$B$5:$B$40,0)))</f>
        <v/>
      </c>
      <c r="J69" s="23" t="str">
        <f aca="false">IF(G69="","",G69/100*INDEX(Alimentos!$G$5:$G$40,MATCH($D69,Alimentos!$B$5:$B$40,0)))</f>
        <v/>
      </c>
      <c r="K69" s="23" t="str">
        <f aca="false">IF(G69="","",G69/100*INDEX(Alimentos!$H$5:$H$40,MATCH($D69,Alimentos!$B$5:$B$40,0)))</f>
        <v/>
      </c>
      <c r="L69" s="24" t="str">
        <f aca="false">IF(OR(A69="",B69=""),"",Perfil!$C$13+(A69-1)*7+MATCH(B69,{"Lunes","Martes","Miércoles","Jueves","Viernes","Sábado","Domingo"},0)-1)</f>
        <v/>
      </c>
    </row>
    <row r="70" customFormat="false" ht="15" hidden="false" customHeight="false" outlineLevel="0" collapsed="false">
      <c r="G70" s="23" t="str">
        <f aca="false">IF(OR(D70="",E70=""),"",E70*IFERROR(VLOOKUP(F70,Perfil!$B$19:$C$24,2,0),1))</f>
        <v/>
      </c>
      <c r="H70" s="23" t="str">
        <f aca="false">IF(G70="","",G70/100*INDEX(Alimentos!$E$5:$E$40,MATCH($D70,Alimentos!$B$5:$B$40,0)))</f>
        <v/>
      </c>
      <c r="I70" s="23" t="str">
        <f aca="false">IF(G70="","",G70/100*INDEX(Alimentos!$F$5:$F$40,MATCH($D70,Alimentos!$B$5:$B$40,0)))</f>
        <v/>
      </c>
      <c r="J70" s="23" t="str">
        <f aca="false">IF(G70="","",G70/100*INDEX(Alimentos!$G$5:$G$40,MATCH($D70,Alimentos!$B$5:$B$40,0)))</f>
        <v/>
      </c>
      <c r="K70" s="23" t="str">
        <f aca="false">IF(G70="","",G70/100*INDEX(Alimentos!$H$5:$H$40,MATCH($D70,Alimentos!$B$5:$B$40,0)))</f>
        <v/>
      </c>
      <c r="L70" s="24" t="str">
        <f aca="false">IF(OR(A70="",B70=""),"",Perfil!$C$13+(A70-1)*7+MATCH(B70,{"Lunes","Martes","Miércoles","Jueves","Viernes","Sábado","Domingo"},0)-1)</f>
        <v/>
      </c>
    </row>
    <row r="71" customFormat="false" ht="15" hidden="false" customHeight="false" outlineLevel="0" collapsed="false">
      <c r="G71" s="23" t="str">
        <f aca="false">IF(OR(D71="",E71=""),"",E71*IFERROR(VLOOKUP(F71,Perfil!$B$19:$C$24,2,0),1))</f>
        <v/>
      </c>
      <c r="H71" s="23" t="str">
        <f aca="false">IF(G71="","",G71/100*INDEX(Alimentos!$E$5:$E$40,MATCH($D71,Alimentos!$B$5:$B$40,0)))</f>
        <v/>
      </c>
      <c r="I71" s="23" t="str">
        <f aca="false">IF(G71="","",G71/100*INDEX(Alimentos!$F$5:$F$40,MATCH($D71,Alimentos!$B$5:$B$40,0)))</f>
        <v/>
      </c>
      <c r="J71" s="23" t="str">
        <f aca="false">IF(G71="","",G71/100*INDEX(Alimentos!$G$5:$G$40,MATCH($D71,Alimentos!$B$5:$B$40,0)))</f>
        <v/>
      </c>
      <c r="K71" s="23" t="str">
        <f aca="false">IF(G71="","",G71/100*INDEX(Alimentos!$H$5:$H$40,MATCH($D71,Alimentos!$B$5:$B$40,0)))</f>
        <v/>
      </c>
      <c r="L71" s="24" t="str">
        <f aca="false">IF(OR(A71="",B71=""),"",Perfil!$C$13+(A71-1)*7+MATCH(B71,{"Lunes","Martes","Miércoles","Jueves","Viernes","Sábado","Domingo"},0)-1)</f>
        <v/>
      </c>
    </row>
    <row r="72" customFormat="false" ht="15" hidden="false" customHeight="false" outlineLevel="0" collapsed="false">
      <c r="G72" s="23" t="str">
        <f aca="false">IF(OR(D72="",E72=""),"",E72*IFERROR(VLOOKUP(F72,Perfil!$B$19:$C$24,2,0),1))</f>
        <v/>
      </c>
      <c r="H72" s="23" t="str">
        <f aca="false">IF(G72="","",G72/100*INDEX(Alimentos!$E$5:$E$40,MATCH($D72,Alimentos!$B$5:$B$40,0)))</f>
        <v/>
      </c>
      <c r="I72" s="23" t="str">
        <f aca="false">IF(G72="","",G72/100*INDEX(Alimentos!$F$5:$F$40,MATCH($D72,Alimentos!$B$5:$B$40,0)))</f>
        <v/>
      </c>
      <c r="J72" s="23" t="str">
        <f aca="false">IF(G72="","",G72/100*INDEX(Alimentos!$G$5:$G$40,MATCH($D72,Alimentos!$B$5:$B$40,0)))</f>
        <v/>
      </c>
      <c r="K72" s="23" t="str">
        <f aca="false">IF(G72="","",G72/100*INDEX(Alimentos!$H$5:$H$40,MATCH($D72,Alimentos!$B$5:$B$40,0)))</f>
        <v/>
      </c>
      <c r="L72" s="24" t="str">
        <f aca="false">IF(OR(A72="",B72=""),"",Perfil!$C$13+(A72-1)*7+MATCH(B72,{"Lunes","Martes","Miércoles","Jueves","Viernes","Sábado","Domingo"},0)-1)</f>
        <v/>
      </c>
    </row>
    <row r="73" customFormat="false" ht="15" hidden="false" customHeight="false" outlineLevel="0" collapsed="false">
      <c r="G73" s="23" t="str">
        <f aca="false">IF(OR(D73="",E73=""),"",E73*IFERROR(VLOOKUP(F73,Perfil!$B$19:$C$24,2,0),1))</f>
        <v/>
      </c>
      <c r="H73" s="23" t="str">
        <f aca="false">IF(G73="","",G73/100*INDEX(Alimentos!$E$5:$E$40,MATCH($D73,Alimentos!$B$5:$B$40,0)))</f>
        <v/>
      </c>
      <c r="I73" s="23" t="str">
        <f aca="false">IF(G73="","",G73/100*INDEX(Alimentos!$F$5:$F$40,MATCH($D73,Alimentos!$B$5:$B$40,0)))</f>
        <v/>
      </c>
      <c r="J73" s="23" t="str">
        <f aca="false">IF(G73="","",G73/100*INDEX(Alimentos!$G$5:$G$40,MATCH($D73,Alimentos!$B$5:$B$40,0)))</f>
        <v/>
      </c>
      <c r="K73" s="23" t="str">
        <f aca="false">IF(G73="","",G73/100*INDEX(Alimentos!$H$5:$H$40,MATCH($D73,Alimentos!$B$5:$B$40,0)))</f>
        <v/>
      </c>
      <c r="L73" s="24" t="str">
        <f aca="false">IF(OR(A73="",B73=""),"",Perfil!$C$13+(A73-1)*7+MATCH(B73,{"Lunes","Martes","Miércoles","Jueves","Viernes","Sábado","Domingo"},0)-1)</f>
        <v/>
      </c>
    </row>
    <row r="74" customFormat="false" ht="15" hidden="false" customHeight="false" outlineLevel="0" collapsed="false">
      <c r="G74" s="23" t="str">
        <f aca="false">IF(OR(D74="",E74=""),"",E74*IFERROR(VLOOKUP(F74,Perfil!$B$19:$C$24,2,0),1))</f>
        <v/>
      </c>
      <c r="H74" s="23" t="str">
        <f aca="false">IF(G74="","",G74/100*INDEX(Alimentos!$E$5:$E$40,MATCH($D74,Alimentos!$B$5:$B$40,0)))</f>
        <v/>
      </c>
      <c r="I74" s="23" t="str">
        <f aca="false">IF(G74="","",G74/100*INDEX(Alimentos!$F$5:$F$40,MATCH($D74,Alimentos!$B$5:$B$40,0)))</f>
        <v/>
      </c>
      <c r="J74" s="23" t="str">
        <f aca="false">IF(G74="","",G74/100*INDEX(Alimentos!$G$5:$G$40,MATCH($D74,Alimentos!$B$5:$B$40,0)))</f>
        <v/>
      </c>
      <c r="K74" s="23" t="str">
        <f aca="false">IF(G74="","",G74/100*INDEX(Alimentos!$H$5:$H$40,MATCH($D74,Alimentos!$B$5:$B$40,0)))</f>
        <v/>
      </c>
      <c r="L74" s="24" t="str">
        <f aca="false">IF(OR(A74="",B74=""),"",Perfil!$C$13+(A74-1)*7+MATCH(B74,{"Lunes","Martes","Miércoles","Jueves","Viernes","Sábado","Domingo"},0)-1)</f>
        <v/>
      </c>
    </row>
    <row r="75" customFormat="false" ht="15" hidden="false" customHeight="false" outlineLevel="0" collapsed="false">
      <c r="G75" s="23" t="str">
        <f aca="false">IF(OR(D75="",E75=""),"",E75*IFERROR(VLOOKUP(F75,Perfil!$B$19:$C$24,2,0),1))</f>
        <v/>
      </c>
      <c r="H75" s="23" t="str">
        <f aca="false">IF(G75="","",G75/100*INDEX(Alimentos!$E$5:$E$40,MATCH($D75,Alimentos!$B$5:$B$40,0)))</f>
        <v/>
      </c>
      <c r="I75" s="23" t="str">
        <f aca="false">IF(G75="","",G75/100*INDEX(Alimentos!$F$5:$F$40,MATCH($D75,Alimentos!$B$5:$B$40,0)))</f>
        <v/>
      </c>
      <c r="J75" s="23" t="str">
        <f aca="false">IF(G75="","",G75/100*INDEX(Alimentos!$G$5:$G$40,MATCH($D75,Alimentos!$B$5:$B$40,0)))</f>
        <v/>
      </c>
      <c r="K75" s="23" t="str">
        <f aca="false">IF(G75="","",G75/100*INDEX(Alimentos!$H$5:$H$40,MATCH($D75,Alimentos!$B$5:$B$40,0)))</f>
        <v/>
      </c>
      <c r="L75" s="24" t="str">
        <f aca="false">IF(OR(A75="",B75=""),"",Perfil!$C$13+(A75-1)*7+MATCH(B75,{"Lunes","Martes","Miércoles","Jueves","Viernes","Sábado","Domingo"},0)-1)</f>
        <v/>
      </c>
    </row>
    <row r="76" customFormat="false" ht="15" hidden="false" customHeight="false" outlineLevel="0" collapsed="false">
      <c r="G76" s="23" t="str">
        <f aca="false">IF(OR(D76="",E76=""),"",E76*IFERROR(VLOOKUP(F76,Perfil!$B$19:$C$24,2,0),1))</f>
        <v/>
      </c>
      <c r="H76" s="23" t="str">
        <f aca="false">IF(G76="","",G76/100*INDEX(Alimentos!$E$5:$E$40,MATCH($D76,Alimentos!$B$5:$B$40,0)))</f>
        <v/>
      </c>
      <c r="I76" s="23" t="str">
        <f aca="false">IF(G76="","",G76/100*INDEX(Alimentos!$F$5:$F$40,MATCH($D76,Alimentos!$B$5:$B$40,0)))</f>
        <v/>
      </c>
      <c r="J76" s="23" t="str">
        <f aca="false">IF(G76="","",G76/100*INDEX(Alimentos!$G$5:$G$40,MATCH($D76,Alimentos!$B$5:$B$40,0)))</f>
        <v/>
      </c>
      <c r="K76" s="23" t="str">
        <f aca="false">IF(G76="","",G76/100*INDEX(Alimentos!$H$5:$H$40,MATCH($D76,Alimentos!$B$5:$B$40,0)))</f>
        <v/>
      </c>
      <c r="L76" s="24" t="str">
        <f aca="false">IF(OR(A76="",B76=""),"",Perfil!$C$13+(A76-1)*7+MATCH(B76,{"Lunes","Martes","Miércoles","Jueves","Viernes","Sábado","Domingo"},0)-1)</f>
        <v/>
      </c>
    </row>
    <row r="77" customFormat="false" ht="15" hidden="false" customHeight="false" outlineLevel="0" collapsed="false">
      <c r="G77" s="23" t="str">
        <f aca="false">IF(OR(D77="",E77=""),"",E77*IFERROR(VLOOKUP(F77,Perfil!$B$19:$C$24,2,0),1))</f>
        <v/>
      </c>
      <c r="H77" s="23" t="str">
        <f aca="false">IF(G77="","",G77/100*INDEX(Alimentos!$E$5:$E$40,MATCH($D77,Alimentos!$B$5:$B$40,0)))</f>
        <v/>
      </c>
      <c r="I77" s="23" t="str">
        <f aca="false">IF(G77="","",G77/100*INDEX(Alimentos!$F$5:$F$40,MATCH($D77,Alimentos!$B$5:$B$40,0)))</f>
        <v/>
      </c>
      <c r="J77" s="23" t="str">
        <f aca="false">IF(G77="","",G77/100*INDEX(Alimentos!$G$5:$G$40,MATCH($D77,Alimentos!$B$5:$B$40,0)))</f>
        <v/>
      </c>
      <c r="K77" s="23" t="str">
        <f aca="false">IF(G77="","",G77/100*INDEX(Alimentos!$H$5:$H$40,MATCH($D77,Alimentos!$B$5:$B$40,0)))</f>
        <v/>
      </c>
      <c r="L77" s="24" t="str">
        <f aca="false">IF(OR(A77="",B77=""),"",Perfil!$C$13+(A77-1)*7+MATCH(B77,{"Lunes","Martes","Miércoles","Jueves","Viernes","Sábado","Domingo"},0)-1)</f>
        <v/>
      </c>
    </row>
    <row r="78" customFormat="false" ht="15" hidden="false" customHeight="false" outlineLevel="0" collapsed="false">
      <c r="G78" s="23" t="str">
        <f aca="false">IF(OR(D78="",E78=""),"",E78*IFERROR(VLOOKUP(F78,Perfil!$B$19:$C$24,2,0),1))</f>
        <v/>
      </c>
      <c r="H78" s="23" t="str">
        <f aca="false">IF(G78="","",G78/100*INDEX(Alimentos!$E$5:$E$40,MATCH($D78,Alimentos!$B$5:$B$40,0)))</f>
        <v/>
      </c>
      <c r="I78" s="23" t="str">
        <f aca="false">IF(G78="","",G78/100*INDEX(Alimentos!$F$5:$F$40,MATCH($D78,Alimentos!$B$5:$B$40,0)))</f>
        <v/>
      </c>
      <c r="J78" s="23" t="str">
        <f aca="false">IF(G78="","",G78/100*INDEX(Alimentos!$G$5:$G$40,MATCH($D78,Alimentos!$B$5:$B$40,0)))</f>
        <v/>
      </c>
      <c r="K78" s="23" t="str">
        <f aca="false">IF(G78="","",G78/100*INDEX(Alimentos!$H$5:$H$40,MATCH($D78,Alimentos!$B$5:$B$40,0)))</f>
        <v/>
      </c>
      <c r="L78" s="24" t="str">
        <f aca="false">IF(OR(A78="",B78=""),"",Perfil!$C$13+(A78-1)*7+MATCH(B78,{"Lunes","Martes","Miércoles","Jueves","Viernes","Sábado","Domingo"},0)-1)</f>
        <v/>
      </c>
    </row>
    <row r="79" customFormat="false" ht="15" hidden="false" customHeight="false" outlineLevel="0" collapsed="false">
      <c r="G79" s="23" t="str">
        <f aca="false">IF(OR(D79="",E79=""),"",E79*IFERROR(VLOOKUP(F79,Perfil!$B$19:$C$24,2,0),1))</f>
        <v/>
      </c>
      <c r="H79" s="23" t="str">
        <f aca="false">IF(G79="","",G79/100*INDEX(Alimentos!$E$5:$E$40,MATCH($D79,Alimentos!$B$5:$B$40,0)))</f>
        <v/>
      </c>
      <c r="I79" s="23" t="str">
        <f aca="false">IF(G79="","",G79/100*INDEX(Alimentos!$F$5:$F$40,MATCH($D79,Alimentos!$B$5:$B$40,0)))</f>
        <v/>
      </c>
      <c r="J79" s="23" t="str">
        <f aca="false">IF(G79="","",G79/100*INDEX(Alimentos!$G$5:$G$40,MATCH($D79,Alimentos!$B$5:$B$40,0)))</f>
        <v/>
      </c>
      <c r="K79" s="23" t="str">
        <f aca="false">IF(G79="","",G79/100*INDEX(Alimentos!$H$5:$H$40,MATCH($D79,Alimentos!$B$5:$B$40,0)))</f>
        <v/>
      </c>
      <c r="L79" s="24" t="str">
        <f aca="false">IF(OR(A79="",B79=""),"",Perfil!$C$13+(A79-1)*7+MATCH(B79,{"Lunes","Martes","Miércoles","Jueves","Viernes","Sábado","Domingo"},0)-1)</f>
        <v/>
      </c>
    </row>
    <row r="80" customFormat="false" ht="15" hidden="false" customHeight="false" outlineLevel="0" collapsed="false">
      <c r="G80" s="23" t="str">
        <f aca="false">IF(OR(D80="",E80=""),"",E80*IFERROR(VLOOKUP(F80,Perfil!$B$19:$C$24,2,0),1))</f>
        <v/>
      </c>
      <c r="H80" s="23" t="str">
        <f aca="false">IF(G80="","",G80/100*INDEX(Alimentos!$E$5:$E$40,MATCH($D80,Alimentos!$B$5:$B$40,0)))</f>
        <v/>
      </c>
      <c r="I80" s="23" t="str">
        <f aca="false">IF(G80="","",G80/100*INDEX(Alimentos!$F$5:$F$40,MATCH($D80,Alimentos!$B$5:$B$40,0)))</f>
        <v/>
      </c>
      <c r="J80" s="23" t="str">
        <f aca="false">IF(G80="","",G80/100*INDEX(Alimentos!$G$5:$G$40,MATCH($D80,Alimentos!$B$5:$B$40,0)))</f>
        <v/>
      </c>
      <c r="K80" s="23" t="str">
        <f aca="false">IF(G80="","",G80/100*INDEX(Alimentos!$H$5:$H$40,MATCH($D80,Alimentos!$B$5:$B$40,0)))</f>
        <v/>
      </c>
      <c r="L80" s="24" t="str">
        <f aca="false">IF(OR(A80="",B80=""),"",Perfil!$C$13+(A80-1)*7+MATCH(B80,{"Lunes","Martes","Miércoles","Jueves","Viernes","Sábado","Domingo"},0)-1)</f>
        <v/>
      </c>
    </row>
    <row r="81" customFormat="false" ht="15" hidden="false" customHeight="false" outlineLevel="0" collapsed="false">
      <c r="G81" s="23" t="str">
        <f aca="false">IF(OR(D81="",E81=""),"",E81*IFERROR(VLOOKUP(F81,Perfil!$B$19:$C$24,2,0),1))</f>
        <v/>
      </c>
      <c r="H81" s="23" t="str">
        <f aca="false">IF(G81="","",G81/100*INDEX(Alimentos!$E$5:$E$40,MATCH($D81,Alimentos!$B$5:$B$40,0)))</f>
        <v/>
      </c>
      <c r="I81" s="23" t="str">
        <f aca="false">IF(G81="","",G81/100*INDEX(Alimentos!$F$5:$F$40,MATCH($D81,Alimentos!$B$5:$B$40,0)))</f>
        <v/>
      </c>
      <c r="J81" s="23" t="str">
        <f aca="false">IF(G81="","",G81/100*INDEX(Alimentos!$G$5:$G$40,MATCH($D81,Alimentos!$B$5:$B$40,0)))</f>
        <v/>
      </c>
      <c r="K81" s="23" t="str">
        <f aca="false">IF(G81="","",G81/100*INDEX(Alimentos!$H$5:$H$40,MATCH($D81,Alimentos!$B$5:$B$40,0)))</f>
        <v/>
      </c>
      <c r="L81" s="24" t="str">
        <f aca="false">IF(OR(A81="",B81=""),"",Perfil!$C$13+(A81-1)*7+MATCH(B81,{"Lunes","Martes","Miércoles","Jueves","Viernes","Sábado","Domingo"},0)-1)</f>
        <v/>
      </c>
    </row>
    <row r="82" customFormat="false" ht="15" hidden="false" customHeight="false" outlineLevel="0" collapsed="false">
      <c r="G82" s="23" t="str">
        <f aca="false">IF(OR(D82="",E82=""),"",E82*IFERROR(VLOOKUP(F82,Perfil!$B$19:$C$24,2,0),1))</f>
        <v/>
      </c>
      <c r="H82" s="23" t="str">
        <f aca="false">IF(G82="","",G82/100*INDEX(Alimentos!$E$5:$E$40,MATCH($D82,Alimentos!$B$5:$B$40,0)))</f>
        <v/>
      </c>
      <c r="I82" s="23" t="str">
        <f aca="false">IF(G82="","",G82/100*INDEX(Alimentos!$F$5:$F$40,MATCH($D82,Alimentos!$B$5:$B$40,0)))</f>
        <v/>
      </c>
      <c r="J82" s="23" t="str">
        <f aca="false">IF(G82="","",G82/100*INDEX(Alimentos!$G$5:$G$40,MATCH($D82,Alimentos!$B$5:$B$40,0)))</f>
        <v/>
      </c>
      <c r="K82" s="23" t="str">
        <f aca="false">IF(G82="","",G82/100*INDEX(Alimentos!$H$5:$H$40,MATCH($D82,Alimentos!$B$5:$B$40,0)))</f>
        <v/>
      </c>
      <c r="L82" s="24" t="str">
        <f aca="false">IF(OR(A82="",B82=""),"",Perfil!$C$13+(A82-1)*7+MATCH(B82,{"Lunes","Martes","Miércoles","Jueves","Viernes","Sábado","Domingo"},0)-1)</f>
        <v/>
      </c>
    </row>
    <row r="83" customFormat="false" ht="15" hidden="false" customHeight="false" outlineLevel="0" collapsed="false">
      <c r="G83" s="23" t="str">
        <f aca="false">IF(OR(D83="",E83=""),"",E83*IFERROR(VLOOKUP(F83,Perfil!$B$19:$C$24,2,0),1))</f>
        <v/>
      </c>
      <c r="H83" s="23" t="str">
        <f aca="false">IF(G83="","",G83/100*INDEX(Alimentos!$E$5:$E$40,MATCH($D83,Alimentos!$B$5:$B$40,0)))</f>
        <v/>
      </c>
      <c r="I83" s="23" t="str">
        <f aca="false">IF(G83="","",G83/100*INDEX(Alimentos!$F$5:$F$40,MATCH($D83,Alimentos!$B$5:$B$40,0)))</f>
        <v/>
      </c>
      <c r="J83" s="23" t="str">
        <f aca="false">IF(G83="","",G83/100*INDEX(Alimentos!$G$5:$G$40,MATCH($D83,Alimentos!$B$5:$B$40,0)))</f>
        <v/>
      </c>
      <c r="K83" s="23" t="str">
        <f aca="false">IF(G83="","",G83/100*INDEX(Alimentos!$H$5:$H$40,MATCH($D83,Alimentos!$B$5:$B$40,0)))</f>
        <v/>
      </c>
      <c r="L83" s="24" t="str">
        <f aca="false">IF(OR(A83="",B83=""),"",Perfil!$C$13+(A83-1)*7+MATCH(B83,{"Lunes","Martes","Miércoles","Jueves","Viernes","Sábado","Domingo"},0)-1)</f>
        <v/>
      </c>
    </row>
    <row r="84" customFormat="false" ht="15" hidden="false" customHeight="false" outlineLevel="0" collapsed="false">
      <c r="G84" s="23" t="str">
        <f aca="false">IF(OR(D84="",E84=""),"",E84*IFERROR(VLOOKUP(F84,Perfil!$B$19:$C$24,2,0),1))</f>
        <v/>
      </c>
      <c r="H84" s="23" t="str">
        <f aca="false">IF(G84="","",G84/100*INDEX(Alimentos!$E$5:$E$40,MATCH($D84,Alimentos!$B$5:$B$40,0)))</f>
        <v/>
      </c>
      <c r="I84" s="23" t="str">
        <f aca="false">IF(G84="","",G84/100*INDEX(Alimentos!$F$5:$F$40,MATCH($D84,Alimentos!$B$5:$B$40,0)))</f>
        <v/>
      </c>
      <c r="J84" s="23" t="str">
        <f aca="false">IF(G84="","",G84/100*INDEX(Alimentos!$G$5:$G$40,MATCH($D84,Alimentos!$B$5:$B$40,0)))</f>
        <v/>
      </c>
      <c r="K84" s="23" t="str">
        <f aca="false">IF(G84="","",G84/100*INDEX(Alimentos!$H$5:$H$40,MATCH($D84,Alimentos!$B$5:$B$40,0)))</f>
        <v/>
      </c>
      <c r="L84" s="24" t="str">
        <f aca="false">IF(OR(A84="",B84=""),"",Perfil!$C$13+(A84-1)*7+MATCH(B84,{"Lunes","Martes","Miércoles","Jueves","Viernes","Sábado","Domingo"},0)-1)</f>
        <v/>
      </c>
    </row>
    <row r="85" customFormat="false" ht="15" hidden="false" customHeight="false" outlineLevel="0" collapsed="false">
      <c r="G85" s="23" t="str">
        <f aca="false">IF(OR(D85="",E85=""),"",E85*IFERROR(VLOOKUP(F85,Perfil!$B$19:$C$24,2,0),1))</f>
        <v/>
      </c>
      <c r="H85" s="23" t="str">
        <f aca="false">IF(G85="","",G85/100*INDEX(Alimentos!$E$5:$E$40,MATCH($D85,Alimentos!$B$5:$B$40,0)))</f>
        <v/>
      </c>
      <c r="I85" s="23" t="str">
        <f aca="false">IF(G85="","",G85/100*INDEX(Alimentos!$F$5:$F$40,MATCH($D85,Alimentos!$B$5:$B$40,0)))</f>
        <v/>
      </c>
      <c r="J85" s="23" t="str">
        <f aca="false">IF(G85="","",G85/100*INDEX(Alimentos!$G$5:$G$40,MATCH($D85,Alimentos!$B$5:$B$40,0)))</f>
        <v/>
      </c>
      <c r="K85" s="23" t="str">
        <f aca="false">IF(G85="","",G85/100*INDEX(Alimentos!$H$5:$H$40,MATCH($D85,Alimentos!$B$5:$B$40,0)))</f>
        <v/>
      </c>
      <c r="L85" s="24" t="str">
        <f aca="false">IF(OR(A85="",B85=""),"",Perfil!$C$13+(A85-1)*7+MATCH(B85,{"Lunes","Martes","Miércoles","Jueves","Viernes","Sábado","Domingo"},0)-1)</f>
        <v/>
      </c>
    </row>
    <row r="86" customFormat="false" ht="15" hidden="false" customHeight="false" outlineLevel="0" collapsed="false">
      <c r="G86" s="23" t="str">
        <f aca="false">IF(OR(D86="",E86=""),"",E86*IFERROR(VLOOKUP(F86,Perfil!$B$19:$C$24,2,0),1))</f>
        <v/>
      </c>
      <c r="H86" s="23" t="str">
        <f aca="false">IF(G86="","",G86/100*INDEX(Alimentos!$E$5:$E$40,MATCH($D86,Alimentos!$B$5:$B$40,0)))</f>
        <v/>
      </c>
      <c r="I86" s="23" t="str">
        <f aca="false">IF(G86="","",G86/100*INDEX(Alimentos!$F$5:$F$40,MATCH($D86,Alimentos!$B$5:$B$40,0)))</f>
        <v/>
      </c>
      <c r="J86" s="23" t="str">
        <f aca="false">IF(G86="","",G86/100*INDEX(Alimentos!$G$5:$G$40,MATCH($D86,Alimentos!$B$5:$B$40,0)))</f>
        <v/>
      </c>
      <c r="K86" s="23" t="str">
        <f aca="false">IF(G86="","",G86/100*INDEX(Alimentos!$H$5:$H$40,MATCH($D86,Alimentos!$B$5:$B$40,0)))</f>
        <v/>
      </c>
      <c r="L86" s="24" t="str">
        <f aca="false">IF(OR(A86="",B86=""),"",Perfil!$C$13+(A86-1)*7+MATCH(B86,{"Lunes","Martes","Miércoles","Jueves","Viernes","Sábado","Domingo"},0)-1)</f>
        <v/>
      </c>
    </row>
    <row r="87" customFormat="false" ht="15" hidden="false" customHeight="false" outlineLevel="0" collapsed="false">
      <c r="G87" s="23" t="str">
        <f aca="false">IF(OR(D87="",E87=""),"",E87*IFERROR(VLOOKUP(F87,Perfil!$B$19:$C$24,2,0),1))</f>
        <v/>
      </c>
      <c r="H87" s="23" t="str">
        <f aca="false">IF(G87="","",G87/100*INDEX(Alimentos!$E$5:$E$40,MATCH($D87,Alimentos!$B$5:$B$40,0)))</f>
        <v/>
      </c>
      <c r="I87" s="23" t="str">
        <f aca="false">IF(G87="","",G87/100*INDEX(Alimentos!$F$5:$F$40,MATCH($D87,Alimentos!$B$5:$B$40,0)))</f>
        <v/>
      </c>
      <c r="J87" s="23" t="str">
        <f aca="false">IF(G87="","",G87/100*INDEX(Alimentos!$G$5:$G$40,MATCH($D87,Alimentos!$B$5:$B$40,0)))</f>
        <v/>
      </c>
      <c r="K87" s="23" t="str">
        <f aca="false">IF(G87="","",G87/100*INDEX(Alimentos!$H$5:$H$40,MATCH($D87,Alimentos!$B$5:$B$40,0)))</f>
        <v/>
      </c>
      <c r="L87" s="24" t="str">
        <f aca="false">IF(OR(A87="",B87=""),"",Perfil!$C$13+(A87-1)*7+MATCH(B87,{"Lunes","Martes","Miércoles","Jueves","Viernes","Sábado","Domingo"},0)-1)</f>
        <v/>
      </c>
    </row>
    <row r="88" customFormat="false" ht="15" hidden="false" customHeight="false" outlineLevel="0" collapsed="false">
      <c r="G88" s="23" t="str">
        <f aca="false">IF(OR(D88="",E88=""),"",E88*IFERROR(VLOOKUP(F88,Perfil!$B$19:$C$24,2,0),1))</f>
        <v/>
      </c>
      <c r="H88" s="23" t="str">
        <f aca="false">IF(G88="","",G88/100*INDEX(Alimentos!$E$5:$E$40,MATCH($D88,Alimentos!$B$5:$B$40,0)))</f>
        <v/>
      </c>
      <c r="I88" s="23" t="str">
        <f aca="false">IF(G88="","",G88/100*INDEX(Alimentos!$F$5:$F$40,MATCH($D88,Alimentos!$B$5:$B$40,0)))</f>
        <v/>
      </c>
      <c r="J88" s="23" t="str">
        <f aca="false">IF(G88="","",G88/100*INDEX(Alimentos!$G$5:$G$40,MATCH($D88,Alimentos!$B$5:$B$40,0)))</f>
        <v/>
      </c>
      <c r="K88" s="23" t="str">
        <f aca="false">IF(G88="","",G88/100*INDEX(Alimentos!$H$5:$H$40,MATCH($D88,Alimentos!$B$5:$B$40,0)))</f>
        <v/>
      </c>
      <c r="L88" s="24" t="str">
        <f aca="false">IF(OR(A88="",B88=""),"",Perfil!$C$13+(A88-1)*7+MATCH(B88,{"Lunes","Martes","Miércoles","Jueves","Viernes","Sábado","Domingo"},0)-1)</f>
        <v/>
      </c>
    </row>
    <row r="89" customFormat="false" ht="15" hidden="false" customHeight="false" outlineLevel="0" collapsed="false">
      <c r="G89" s="23" t="str">
        <f aca="false">IF(OR(D89="",E89=""),"",E89*IFERROR(VLOOKUP(F89,Perfil!$B$19:$C$24,2,0),1))</f>
        <v/>
      </c>
      <c r="H89" s="23" t="str">
        <f aca="false">IF(G89="","",G89/100*INDEX(Alimentos!$E$5:$E$40,MATCH($D89,Alimentos!$B$5:$B$40,0)))</f>
        <v/>
      </c>
      <c r="I89" s="23" t="str">
        <f aca="false">IF(G89="","",G89/100*INDEX(Alimentos!$F$5:$F$40,MATCH($D89,Alimentos!$B$5:$B$40,0)))</f>
        <v/>
      </c>
      <c r="J89" s="23" t="str">
        <f aca="false">IF(G89="","",G89/100*INDEX(Alimentos!$G$5:$G$40,MATCH($D89,Alimentos!$B$5:$B$40,0)))</f>
        <v/>
      </c>
      <c r="K89" s="23" t="str">
        <f aca="false">IF(G89="","",G89/100*INDEX(Alimentos!$H$5:$H$40,MATCH($D89,Alimentos!$B$5:$B$40,0)))</f>
        <v/>
      </c>
      <c r="L89" s="24" t="str">
        <f aca="false">IF(OR(A89="",B89=""),"",Perfil!$C$13+(A89-1)*7+MATCH(B89,{"Lunes","Martes","Miércoles","Jueves","Viernes","Sábado","Domingo"},0)-1)</f>
        <v/>
      </c>
    </row>
    <row r="90" customFormat="false" ht="15" hidden="false" customHeight="false" outlineLevel="0" collapsed="false">
      <c r="G90" s="23" t="str">
        <f aca="false">IF(OR(D90="",E90=""),"",E90*IFERROR(VLOOKUP(F90,Perfil!$B$19:$C$24,2,0),1))</f>
        <v/>
      </c>
      <c r="H90" s="23" t="str">
        <f aca="false">IF(G90="","",G90/100*INDEX(Alimentos!$E$5:$E$40,MATCH($D90,Alimentos!$B$5:$B$40,0)))</f>
        <v/>
      </c>
      <c r="I90" s="23" t="str">
        <f aca="false">IF(G90="","",G90/100*INDEX(Alimentos!$F$5:$F$40,MATCH($D90,Alimentos!$B$5:$B$40,0)))</f>
        <v/>
      </c>
      <c r="J90" s="23" t="str">
        <f aca="false">IF(G90="","",G90/100*INDEX(Alimentos!$G$5:$G$40,MATCH($D90,Alimentos!$B$5:$B$40,0)))</f>
        <v/>
      </c>
      <c r="K90" s="23" t="str">
        <f aca="false">IF(G90="","",G90/100*INDEX(Alimentos!$H$5:$H$40,MATCH($D90,Alimentos!$B$5:$B$40,0)))</f>
        <v/>
      </c>
      <c r="L90" s="24" t="str">
        <f aca="false">IF(OR(A90="",B90=""),"",Perfil!$C$13+(A90-1)*7+MATCH(B90,{"Lunes","Martes","Miércoles","Jueves","Viernes","Sábado","Domingo"},0)-1)</f>
        <v/>
      </c>
    </row>
    <row r="91" customFormat="false" ht="15" hidden="false" customHeight="false" outlineLevel="0" collapsed="false">
      <c r="G91" s="23" t="str">
        <f aca="false">IF(OR(D91="",E91=""),"",E91*IFERROR(VLOOKUP(F91,Perfil!$B$19:$C$24,2,0),1))</f>
        <v/>
      </c>
      <c r="H91" s="23" t="str">
        <f aca="false">IF(G91="","",G91/100*INDEX(Alimentos!$E$5:$E$40,MATCH($D91,Alimentos!$B$5:$B$40,0)))</f>
        <v/>
      </c>
      <c r="I91" s="23" t="str">
        <f aca="false">IF(G91="","",G91/100*INDEX(Alimentos!$F$5:$F$40,MATCH($D91,Alimentos!$B$5:$B$40,0)))</f>
        <v/>
      </c>
      <c r="J91" s="23" t="str">
        <f aca="false">IF(G91="","",G91/100*INDEX(Alimentos!$G$5:$G$40,MATCH($D91,Alimentos!$B$5:$B$40,0)))</f>
        <v/>
      </c>
      <c r="K91" s="23" t="str">
        <f aca="false">IF(G91="","",G91/100*INDEX(Alimentos!$H$5:$H$40,MATCH($D91,Alimentos!$B$5:$B$40,0)))</f>
        <v/>
      </c>
      <c r="L91" s="24" t="str">
        <f aca="false">IF(OR(A91="",B91=""),"",Perfil!$C$13+(A91-1)*7+MATCH(B91,{"Lunes","Martes","Miércoles","Jueves","Viernes","Sábado","Domingo"},0)-1)</f>
        <v/>
      </c>
    </row>
    <row r="92" customFormat="false" ht="15" hidden="false" customHeight="false" outlineLevel="0" collapsed="false">
      <c r="G92" s="23" t="str">
        <f aca="false">IF(OR(D92="",E92=""),"",E92*IFERROR(VLOOKUP(F92,Perfil!$B$19:$C$24,2,0),1))</f>
        <v/>
      </c>
      <c r="H92" s="23" t="str">
        <f aca="false">IF(G92="","",G92/100*INDEX(Alimentos!$E$5:$E$40,MATCH($D92,Alimentos!$B$5:$B$40,0)))</f>
        <v/>
      </c>
      <c r="I92" s="23" t="str">
        <f aca="false">IF(G92="","",G92/100*INDEX(Alimentos!$F$5:$F$40,MATCH($D92,Alimentos!$B$5:$B$40,0)))</f>
        <v/>
      </c>
      <c r="J92" s="23" t="str">
        <f aca="false">IF(G92="","",G92/100*INDEX(Alimentos!$G$5:$G$40,MATCH($D92,Alimentos!$B$5:$B$40,0)))</f>
        <v/>
      </c>
      <c r="K92" s="23" t="str">
        <f aca="false">IF(G92="","",G92/100*INDEX(Alimentos!$H$5:$H$40,MATCH($D92,Alimentos!$B$5:$B$40,0)))</f>
        <v/>
      </c>
      <c r="L92" s="24" t="str">
        <f aca="false">IF(OR(A92="",B92=""),"",Perfil!$C$13+(A92-1)*7+MATCH(B92,{"Lunes","Martes","Miércoles","Jueves","Viernes","Sábado","Domingo"},0)-1)</f>
        <v/>
      </c>
    </row>
    <row r="93" customFormat="false" ht="15" hidden="false" customHeight="false" outlineLevel="0" collapsed="false">
      <c r="G93" s="23" t="str">
        <f aca="false">IF(OR(D93="",E93=""),"",E93*IFERROR(VLOOKUP(F93,Perfil!$B$19:$C$24,2,0),1))</f>
        <v/>
      </c>
      <c r="H93" s="23" t="str">
        <f aca="false">IF(G93="","",G93/100*INDEX(Alimentos!$E$5:$E$40,MATCH($D93,Alimentos!$B$5:$B$40,0)))</f>
        <v/>
      </c>
      <c r="I93" s="23" t="str">
        <f aca="false">IF(G93="","",G93/100*INDEX(Alimentos!$F$5:$F$40,MATCH($D93,Alimentos!$B$5:$B$40,0)))</f>
        <v/>
      </c>
      <c r="J93" s="23" t="str">
        <f aca="false">IF(G93="","",G93/100*INDEX(Alimentos!$G$5:$G$40,MATCH($D93,Alimentos!$B$5:$B$40,0)))</f>
        <v/>
      </c>
      <c r="K93" s="23" t="str">
        <f aca="false">IF(G93="","",G93/100*INDEX(Alimentos!$H$5:$H$40,MATCH($D93,Alimentos!$B$5:$B$40,0)))</f>
        <v/>
      </c>
      <c r="L93" s="24" t="str">
        <f aca="false">IF(OR(A93="",B93=""),"",Perfil!$C$13+(A93-1)*7+MATCH(B93,{"Lunes","Martes","Miércoles","Jueves","Viernes","Sábado","Domingo"},0)-1)</f>
        <v/>
      </c>
    </row>
    <row r="94" customFormat="false" ht="15" hidden="false" customHeight="false" outlineLevel="0" collapsed="false">
      <c r="G94" s="23" t="str">
        <f aca="false">IF(OR(D94="",E94=""),"",E94*IFERROR(VLOOKUP(F94,Perfil!$B$19:$C$24,2,0),1))</f>
        <v/>
      </c>
      <c r="H94" s="23" t="str">
        <f aca="false">IF(G94="","",G94/100*INDEX(Alimentos!$E$5:$E$40,MATCH($D94,Alimentos!$B$5:$B$40,0)))</f>
        <v/>
      </c>
      <c r="I94" s="23" t="str">
        <f aca="false">IF(G94="","",G94/100*INDEX(Alimentos!$F$5:$F$40,MATCH($D94,Alimentos!$B$5:$B$40,0)))</f>
        <v/>
      </c>
      <c r="J94" s="23" t="str">
        <f aca="false">IF(G94="","",G94/100*INDEX(Alimentos!$G$5:$G$40,MATCH($D94,Alimentos!$B$5:$B$40,0)))</f>
        <v/>
      </c>
      <c r="K94" s="23" t="str">
        <f aca="false">IF(G94="","",G94/100*INDEX(Alimentos!$H$5:$H$40,MATCH($D94,Alimentos!$B$5:$B$40,0)))</f>
        <v/>
      </c>
      <c r="L94" s="24" t="str">
        <f aca="false">IF(OR(A94="",B94=""),"",Perfil!$C$13+(A94-1)*7+MATCH(B94,{"Lunes","Martes","Miércoles","Jueves","Viernes","Sábado","Domingo"},0)-1)</f>
        <v/>
      </c>
    </row>
    <row r="95" customFormat="false" ht="15" hidden="false" customHeight="false" outlineLevel="0" collapsed="false">
      <c r="G95" s="23" t="str">
        <f aca="false">IF(OR(D95="",E95=""),"",E95*IFERROR(VLOOKUP(F95,Perfil!$B$19:$C$24,2,0),1))</f>
        <v/>
      </c>
      <c r="H95" s="23" t="str">
        <f aca="false">IF(G95="","",G95/100*INDEX(Alimentos!$E$5:$E$40,MATCH($D95,Alimentos!$B$5:$B$40,0)))</f>
        <v/>
      </c>
      <c r="I95" s="23" t="str">
        <f aca="false">IF(G95="","",G95/100*INDEX(Alimentos!$F$5:$F$40,MATCH($D95,Alimentos!$B$5:$B$40,0)))</f>
        <v/>
      </c>
      <c r="J95" s="23" t="str">
        <f aca="false">IF(G95="","",G95/100*INDEX(Alimentos!$G$5:$G$40,MATCH($D95,Alimentos!$B$5:$B$40,0)))</f>
        <v/>
      </c>
      <c r="K95" s="23" t="str">
        <f aca="false">IF(G95="","",G95/100*INDEX(Alimentos!$H$5:$H$40,MATCH($D95,Alimentos!$B$5:$B$40,0)))</f>
        <v/>
      </c>
      <c r="L95" s="24" t="str">
        <f aca="false">IF(OR(A95="",B95=""),"",Perfil!$C$13+(A95-1)*7+MATCH(B95,{"Lunes","Martes","Miércoles","Jueves","Viernes","Sábado","Domingo"},0)-1)</f>
        <v/>
      </c>
    </row>
    <row r="96" customFormat="false" ht="15" hidden="false" customHeight="false" outlineLevel="0" collapsed="false">
      <c r="G96" s="23" t="str">
        <f aca="false">IF(OR(D96="",E96=""),"",E96*IFERROR(VLOOKUP(F96,Perfil!$B$19:$C$24,2,0),1))</f>
        <v/>
      </c>
      <c r="H96" s="23" t="str">
        <f aca="false">IF(G96="","",G96/100*INDEX(Alimentos!$E$5:$E$40,MATCH($D96,Alimentos!$B$5:$B$40,0)))</f>
        <v/>
      </c>
      <c r="I96" s="23" t="str">
        <f aca="false">IF(G96="","",G96/100*INDEX(Alimentos!$F$5:$F$40,MATCH($D96,Alimentos!$B$5:$B$40,0)))</f>
        <v/>
      </c>
      <c r="J96" s="23" t="str">
        <f aca="false">IF(G96="","",G96/100*INDEX(Alimentos!$G$5:$G$40,MATCH($D96,Alimentos!$B$5:$B$40,0)))</f>
        <v/>
      </c>
      <c r="K96" s="23" t="str">
        <f aca="false">IF(G96="","",G96/100*INDEX(Alimentos!$H$5:$H$40,MATCH($D96,Alimentos!$B$5:$B$40,0)))</f>
        <v/>
      </c>
      <c r="L96" s="24" t="str">
        <f aca="false">IF(OR(A96="",B96=""),"",Perfil!$C$13+(A96-1)*7+MATCH(B96,{"Lunes","Martes","Miércoles","Jueves","Viernes","Sábado","Domingo"},0)-1)</f>
        <v/>
      </c>
    </row>
    <row r="97" customFormat="false" ht="15" hidden="false" customHeight="false" outlineLevel="0" collapsed="false">
      <c r="G97" s="23" t="str">
        <f aca="false">IF(OR(D97="",E97=""),"",E97*IFERROR(VLOOKUP(F97,Perfil!$B$19:$C$24,2,0),1))</f>
        <v/>
      </c>
      <c r="H97" s="23" t="str">
        <f aca="false">IF(G97="","",G97/100*INDEX(Alimentos!$E$5:$E$40,MATCH($D97,Alimentos!$B$5:$B$40,0)))</f>
        <v/>
      </c>
      <c r="I97" s="23" t="str">
        <f aca="false">IF(G97="","",G97/100*INDEX(Alimentos!$F$5:$F$40,MATCH($D97,Alimentos!$B$5:$B$40,0)))</f>
        <v/>
      </c>
      <c r="J97" s="23" t="str">
        <f aca="false">IF(G97="","",G97/100*INDEX(Alimentos!$G$5:$G$40,MATCH($D97,Alimentos!$B$5:$B$40,0)))</f>
        <v/>
      </c>
      <c r="K97" s="23" t="str">
        <f aca="false">IF(G97="","",G97/100*INDEX(Alimentos!$H$5:$H$40,MATCH($D97,Alimentos!$B$5:$B$40,0)))</f>
        <v/>
      </c>
      <c r="L97" s="24" t="str">
        <f aca="false">IF(OR(A97="",B97=""),"",Perfil!$C$13+(A97-1)*7+MATCH(B97,{"Lunes","Martes","Miércoles","Jueves","Viernes","Sábado","Domingo"},0)-1)</f>
        <v/>
      </c>
    </row>
    <row r="98" customFormat="false" ht="15" hidden="false" customHeight="false" outlineLevel="0" collapsed="false">
      <c r="G98" s="23" t="str">
        <f aca="false">IF(OR(D98="",E98=""),"",E98*IFERROR(VLOOKUP(F98,Perfil!$B$19:$C$24,2,0),1))</f>
        <v/>
      </c>
      <c r="H98" s="23" t="str">
        <f aca="false">IF(G98="","",G98/100*INDEX(Alimentos!$E$5:$E$40,MATCH($D98,Alimentos!$B$5:$B$40,0)))</f>
        <v/>
      </c>
      <c r="I98" s="23" t="str">
        <f aca="false">IF(G98="","",G98/100*INDEX(Alimentos!$F$5:$F$40,MATCH($D98,Alimentos!$B$5:$B$40,0)))</f>
        <v/>
      </c>
      <c r="J98" s="23" t="str">
        <f aca="false">IF(G98="","",G98/100*INDEX(Alimentos!$G$5:$G$40,MATCH($D98,Alimentos!$B$5:$B$40,0)))</f>
        <v/>
      </c>
      <c r="K98" s="23" t="str">
        <f aca="false">IF(G98="","",G98/100*INDEX(Alimentos!$H$5:$H$40,MATCH($D98,Alimentos!$B$5:$B$40,0)))</f>
        <v/>
      </c>
      <c r="L98" s="24" t="str">
        <f aca="false">IF(OR(A98="",B98=""),"",Perfil!$C$13+(A98-1)*7+MATCH(B98,{"Lunes","Martes","Miércoles","Jueves","Viernes","Sábado","Domingo"},0)-1)</f>
        <v/>
      </c>
    </row>
    <row r="99" customFormat="false" ht="15" hidden="false" customHeight="false" outlineLevel="0" collapsed="false">
      <c r="G99" s="23" t="str">
        <f aca="false">IF(OR(D99="",E99=""),"",E99*IFERROR(VLOOKUP(F99,Perfil!$B$19:$C$24,2,0),1))</f>
        <v/>
      </c>
      <c r="H99" s="23" t="str">
        <f aca="false">IF(G99="","",G99/100*INDEX(Alimentos!$E$5:$E$40,MATCH($D99,Alimentos!$B$5:$B$40,0)))</f>
        <v/>
      </c>
      <c r="I99" s="23" t="str">
        <f aca="false">IF(G99="","",G99/100*INDEX(Alimentos!$F$5:$F$40,MATCH($D99,Alimentos!$B$5:$B$40,0)))</f>
        <v/>
      </c>
      <c r="J99" s="23" t="str">
        <f aca="false">IF(G99="","",G99/100*INDEX(Alimentos!$G$5:$G$40,MATCH($D99,Alimentos!$B$5:$B$40,0)))</f>
        <v/>
      </c>
      <c r="K99" s="23" t="str">
        <f aca="false">IF(G99="","",G99/100*INDEX(Alimentos!$H$5:$H$40,MATCH($D99,Alimentos!$B$5:$B$40,0)))</f>
        <v/>
      </c>
      <c r="L99" s="24" t="str">
        <f aca="false">IF(OR(A99="",B99=""),"",Perfil!$C$13+(A99-1)*7+MATCH(B99,{"Lunes","Martes","Miércoles","Jueves","Viernes","Sábado","Domingo"},0)-1)</f>
        <v/>
      </c>
    </row>
    <row r="100" customFormat="false" ht="15" hidden="false" customHeight="false" outlineLevel="0" collapsed="false">
      <c r="G100" s="23" t="str">
        <f aca="false">IF(OR(D100="",E100=""),"",E100*IFERROR(VLOOKUP(F100,Perfil!$B$19:$C$24,2,0),1))</f>
        <v/>
      </c>
      <c r="H100" s="23" t="str">
        <f aca="false">IF(G100="","",G100/100*INDEX(Alimentos!$E$5:$E$40,MATCH($D100,Alimentos!$B$5:$B$40,0)))</f>
        <v/>
      </c>
      <c r="I100" s="23" t="str">
        <f aca="false">IF(G100="","",G100/100*INDEX(Alimentos!$F$5:$F$40,MATCH($D100,Alimentos!$B$5:$B$40,0)))</f>
        <v/>
      </c>
      <c r="J100" s="23" t="str">
        <f aca="false">IF(G100="","",G100/100*INDEX(Alimentos!$G$5:$G$40,MATCH($D100,Alimentos!$B$5:$B$40,0)))</f>
        <v/>
      </c>
      <c r="K100" s="23" t="str">
        <f aca="false">IF(G100="","",G100/100*INDEX(Alimentos!$H$5:$H$40,MATCH($D100,Alimentos!$B$5:$B$40,0)))</f>
        <v/>
      </c>
      <c r="L100" s="24" t="str">
        <f aca="false">IF(OR(A100="",B100=""),"",Perfil!$C$13+(A100-1)*7+MATCH(B100,{"Lunes","Martes","Miércoles","Jueves","Viernes","Sábado","Domingo"},0)-1)</f>
        <v/>
      </c>
    </row>
    <row r="101" customFormat="false" ht="15" hidden="false" customHeight="false" outlineLevel="0" collapsed="false">
      <c r="G101" s="23" t="str">
        <f aca="false">IF(OR(D101="",E101=""),"",E101*IFERROR(VLOOKUP(F101,Perfil!$B$19:$C$24,2,0),1))</f>
        <v/>
      </c>
      <c r="H101" s="23" t="str">
        <f aca="false">IF(G101="","",G101/100*INDEX(Alimentos!$E$5:$E$40,MATCH($D101,Alimentos!$B$5:$B$40,0)))</f>
        <v/>
      </c>
      <c r="I101" s="23" t="str">
        <f aca="false">IF(G101="","",G101/100*INDEX(Alimentos!$F$5:$F$40,MATCH($D101,Alimentos!$B$5:$B$40,0)))</f>
        <v/>
      </c>
      <c r="J101" s="23" t="str">
        <f aca="false">IF(G101="","",G101/100*INDEX(Alimentos!$G$5:$G$40,MATCH($D101,Alimentos!$B$5:$B$40,0)))</f>
        <v/>
      </c>
      <c r="K101" s="23" t="str">
        <f aca="false">IF(G101="","",G101/100*INDEX(Alimentos!$H$5:$H$40,MATCH($D101,Alimentos!$B$5:$B$40,0)))</f>
        <v/>
      </c>
      <c r="L101" s="24" t="str">
        <f aca="false">IF(OR(A101="",B101=""),"",Perfil!$C$13+(A101-1)*7+MATCH(B101,{"Lunes","Martes","Miércoles","Jueves","Viernes","Sábado","Domingo"},0)-1)</f>
        <v/>
      </c>
    </row>
    <row r="102" customFormat="false" ht="15" hidden="false" customHeight="false" outlineLevel="0" collapsed="false">
      <c r="G102" s="23" t="str">
        <f aca="false">IF(OR(D102="",E102=""),"",E102*IFERROR(VLOOKUP(F102,Perfil!$B$19:$C$24,2,0),1))</f>
        <v/>
      </c>
      <c r="H102" s="23" t="str">
        <f aca="false">IF(G102="","",G102/100*INDEX(Alimentos!$E$5:$E$40,MATCH($D102,Alimentos!$B$5:$B$40,0)))</f>
        <v/>
      </c>
      <c r="I102" s="23" t="str">
        <f aca="false">IF(G102="","",G102/100*INDEX(Alimentos!$F$5:$F$40,MATCH($D102,Alimentos!$B$5:$B$40,0)))</f>
        <v/>
      </c>
      <c r="J102" s="23" t="str">
        <f aca="false">IF(G102="","",G102/100*INDEX(Alimentos!$G$5:$G$40,MATCH($D102,Alimentos!$B$5:$B$40,0)))</f>
        <v/>
      </c>
      <c r="K102" s="23" t="str">
        <f aca="false">IF(G102="","",G102/100*INDEX(Alimentos!$H$5:$H$40,MATCH($D102,Alimentos!$B$5:$B$40,0)))</f>
        <v/>
      </c>
      <c r="L102" s="24" t="str">
        <f aca="false">IF(OR(A102="",B102=""),"",Perfil!$C$13+(A102-1)*7+MATCH(B102,{"Lunes","Martes","Miércoles","Jueves","Viernes","Sábado","Domingo"},0)-1)</f>
        <v/>
      </c>
    </row>
    <row r="103" customFormat="false" ht="15" hidden="false" customHeight="false" outlineLevel="0" collapsed="false">
      <c r="G103" s="23" t="str">
        <f aca="false">IF(OR(D103="",E103=""),"",E103*IFERROR(VLOOKUP(F103,Perfil!$B$19:$C$24,2,0),1))</f>
        <v/>
      </c>
      <c r="H103" s="23" t="str">
        <f aca="false">IF(G103="","",G103/100*INDEX(Alimentos!$E$5:$E$40,MATCH($D103,Alimentos!$B$5:$B$40,0)))</f>
        <v/>
      </c>
      <c r="I103" s="23" t="str">
        <f aca="false">IF(G103="","",G103/100*INDEX(Alimentos!$F$5:$F$40,MATCH($D103,Alimentos!$B$5:$B$40,0)))</f>
        <v/>
      </c>
      <c r="J103" s="23" t="str">
        <f aca="false">IF(G103="","",G103/100*INDEX(Alimentos!$G$5:$G$40,MATCH($D103,Alimentos!$B$5:$B$40,0)))</f>
        <v/>
      </c>
      <c r="K103" s="23" t="str">
        <f aca="false">IF(G103="","",G103/100*INDEX(Alimentos!$H$5:$H$40,MATCH($D103,Alimentos!$B$5:$B$40,0)))</f>
        <v/>
      </c>
      <c r="L103" s="24" t="str">
        <f aca="false">IF(OR(A103="",B103=""),"",Perfil!$C$13+(A103-1)*7+MATCH(B103,{"Lunes","Martes","Miércoles","Jueves","Viernes","Sábado","Domingo"},0)-1)</f>
        <v/>
      </c>
    </row>
    <row r="104" customFormat="false" ht="15" hidden="false" customHeight="false" outlineLevel="0" collapsed="false">
      <c r="G104" s="23" t="str">
        <f aca="false">IF(OR(D104="",E104=""),"",E104*IFERROR(VLOOKUP(F104,Perfil!$B$19:$C$24,2,0),1))</f>
        <v/>
      </c>
      <c r="H104" s="23" t="str">
        <f aca="false">IF(G104="","",G104/100*INDEX(Alimentos!$E$5:$E$40,MATCH($D104,Alimentos!$B$5:$B$40,0)))</f>
        <v/>
      </c>
      <c r="I104" s="23" t="str">
        <f aca="false">IF(G104="","",G104/100*INDEX(Alimentos!$F$5:$F$40,MATCH($D104,Alimentos!$B$5:$B$40,0)))</f>
        <v/>
      </c>
      <c r="J104" s="23" t="str">
        <f aca="false">IF(G104="","",G104/100*INDEX(Alimentos!$G$5:$G$40,MATCH($D104,Alimentos!$B$5:$B$40,0)))</f>
        <v/>
      </c>
      <c r="K104" s="23" t="str">
        <f aca="false">IF(G104="","",G104/100*INDEX(Alimentos!$H$5:$H$40,MATCH($D104,Alimentos!$B$5:$B$40,0)))</f>
        <v/>
      </c>
      <c r="L104" s="24" t="str">
        <f aca="false">IF(OR(A104="",B104=""),"",Perfil!$C$13+(A104-1)*7+MATCH(B104,{"Lunes","Martes","Miércoles","Jueves","Viernes","Sábado","Domingo"},0)-1)</f>
        <v/>
      </c>
    </row>
    <row r="105" customFormat="false" ht="15" hidden="false" customHeight="false" outlineLevel="0" collapsed="false">
      <c r="G105" s="23" t="str">
        <f aca="false">IF(OR(D105="",E105=""),"",E105*IFERROR(VLOOKUP(F105,Perfil!$B$19:$C$24,2,0),1))</f>
        <v/>
      </c>
      <c r="H105" s="23" t="str">
        <f aca="false">IF(G105="","",G105/100*INDEX(Alimentos!$E$5:$E$40,MATCH($D105,Alimentos!$B$5:$B$40,0)))</f>
        <v/>
      </c>
      <c r="I105" s="23" t="str">
        <f aca="false">IF(G105="","",G105/100*INDEX(Alimentos!$F$5:$F$40,MATCH($D105,Alimentos!$B$5:$B$40,0)))</f>
        <v/>
      </c>
      <c r="J105" s="23" t="str">
        <f aca="false">IF(G105="","",G105/100*INDEX(Alimentos!$G$5:$G$40,MATCH($D105,Alimentos!$B$5:$B$40,0)))</f>
        <v/>
      </c>
      <c r="K105" s="23" t="str">
        <f aca="false">IF(G105="","",G105/100*INDEX(Alimentos!$H$5:$H$40,MATCH($D105,Alimentos!$B$5:$B$40,0)))</f>
        <v/>
      </c>
      <c r="L105" s="24" t="str">
        <f aca="false">IF(OR(A105="",B105=""),"",Perfil!$C$13+(A105-1)*7+MATCH(B105,{"Lunes","Martes","Miércoles","Jueves","Viernes","Sábado","Domingo"},0)-1)</f>
        <v/>
      </c>
    </row>
    <row r="106" customFormat="false" ht="15" hidden="false" customHeight="false" outlineLevel="0" collapsed="false">
      <c r="G106" s="23" t="str">
        <f aca="false">IF(OR(D106="",E106=""),"",E106*IFERROR(VLOOKUP(F106,Perfil!$B$19:$C$24,2,0),1))</f>
        <v/>
      </c>
      <c r="H106" s="23" t="str">
        <f aca="false">IF(G106="","",G106/100*INDEX(Alimentos!$E$5:$E$40,MATCH($D106,Alimentos!$B$5:$B$40,0)))</f>
        <v/>
      </c>
      <c r="I106" s="23" t="str">
        <f aca="false">IF(G106="","",G106/100*INDEX(Alimentos!$F$5:$F$40,MATCH($D106,Alimentos!$B$5:$B$40,0)))</f>
        <v/>
      </c>
      <c r="J106" s="23" t="str">
        <f aca="false">IF(G106="","",G106/100*INDEX(Alimentos!$G$5:$G$40,MATCH($D106,Alimentos!$B$5:$B$40,0)))</f>
        <v/>
      </c>
      <c r="K106" s="23" t="str">
        <f aca="false">IF(G106="","",G106/100*INDEX(Alimentos!$H$5:$H$40,MATCH($D106,Alimentos!$B$5:$B$40,0)))</f>
        <v/>
      </c>
      <c r="L106" s="24" t="str">
        <f aca="false">IF(OR(A106="",B106=""),"",Perfil!$C$13+(A106-1)*7+MATCH(B106,{"Lunes","Martes","Miércoles","Jueves","Viernes","Sábado","Domingo"},0)-1)</f>
        <v/>
      </c>
    </row>
    <row r="107" customFormat="false" ht="15" hidden="false" customHeight="false" outlineLevel="0" collapsed="false">
      <c r="G107" s="23" t="str">
        <f aca="false">IF(OR(D107="",E107=""),"",E107*IFERROR(VLOOKUP(F107,Perfil!$B$19:$C$24,2,0),1))</f>
        <v/>
      </c>
      <c r="H107" s="23" t="str">
        <f aca="false">IF(G107="","",G107/100*INDEX(Alimentos!$E$5:$E$40,MATCH($D107,Alimentos!$B$5:$B$40,0)))</f>
        <v/>
      </c>
      <c r="I107" s="23" t="str">
        <f aca="false">IF(G107="","",G107/100*INDEX(Alimentos!$F$5:$F$40,MATCH($D107,Alimentos!$B$5:$B$40,0)))</f>
        <v/>
      </c>
      <c r="J107" s="23" t="str">
        <f aca="false">IF(G107="","",G107/100*INDEX(Alimentos!$G$5:$G$40,MATCH($D107,Alimentos!$B$5:$B$40,0)))</f>
        <v/>
      </c>
      <c r="K107" s="23" t="str">
        <f aca="false">IF(G107="","",G107/100*INDEX(Alimentos!$H$5:$H$40,MATCH($D107,Alimentos!$B$5:$B$40,0)))</f>
        <v/>
      </c>
      <c r="L107" s="24" t="str">
        <f aca="false">IF(OR(A107="",B107=""),"",Perfil!$C$13+(A107-1)*7+MATCH(B107,{"Lunes","Martes","Miércoles","Jueves","Viernes","Sábado","Domingo"},0)-1)</f>
        <v/>
      </c>
    </row>
    <row r="108" customFormat="false" ht="15" hidden="false" customHeight="false" outlineLevel="0" collapsed="false">
      <c r="G108" s="23" t="str">
        <f aca="false">IF(OR(D108="",E108=""),"",E108*IFERROR(VLOOKUP(F108,Perfil!$B$19:$C$24,2,0),1))</f>
        <v/>
      </c>
      <c r="H108" s="23" t="str">
        <f aca="false">IF(G108="","",G108/100*INDEX(Alimentos!$E$5:$E$40,MATCH($D108,Alimentos!$B$5:$B$40,0)))</f>
        <v/>
      </c>
      <c r="I108" s="23" t="str">
        <f aca="false">IF(G108="","",G108/100*INDEX(Alimentos!$F$5:$F$40,MATCH($D108,Alimentos!$B$5:$B$40,0)))</f>
        <v/>
      </c>
      <c r="J108" s="23" t="str">
        <f aca="false">IF(G108="","",G108/100*INDEX(Alimentos!$G$5:$G$40,MATCH($D108,Alimentos!$B$5:$B$40,0)))</f>
        <v/>
      </c>
      <c r="K108" s="23" t="str">
        <f aca="false">IF(G108="","",G108/100*INDEX(Alimentos!$H$5:$H$40,MATCH($D108,Alimentos!$B$5:$B$40,0)))</f>
        <v/>
      </c>
      <c r="L108" s="24" t="str">
        <f aca="false">IF(OR(A108="",B108=""),"",Perfil!$C$13+(A108-1)*7+MATCH(B108,{"Lunes","Martes","Miércoles","Jueves","Viernes","Sábado","Domingo"},0)-1)</f>
        <v/>
      </c>
    </row>
    <row r="109" customFormat="false" ht="15" hidden="false" customHeight="false" outlineLevel="0" collapsed="false">
      <c r="G109" s="23" t="str">
        <f aca="false">IF(OR(D109="",E109=""),"",E109*IFERROR(VLOOKUP(F109,Perfil!$B$19:$C$24,2,0),1))</f>
        <v/>
      </c>
      <c r="H109" s="23" t="str">
        <f aca="false">IF(G109="","",G109/100*INDEX(Alimentos!$E$5:$E$40,MATCH($D109,Alimentos!$B$5:$B$40,0)))</f>
        <v/>
      </c>
      <c r="I109" s="23" t="str">
        <f aca="false">IF(G109="","",G109/100*INDEX(Alimentos!$F$5:$F$40,MATCH($D109,Alimentos!$B$5:$B$40,0)))</f>
        <v/>
      </c>
      <c r="J109" s="23" t="str">
        <f aca="false">IF(G109="","",G109/100*INDEX(Alimentos!$G$5:$G$40,MATCH($D109,Alimentos!$B$5:$B$40,0)))</f>
        <v/>
      </c>
      <c r="K109" s="23" t="str">
        <f aca="false">IF(G109="","",G109/100*INDEX(Alimentos!$H$5:$H$40,MATCH($D109,Alimentos!$B$5:$B$40,0)))</f>
        <v/>
      </c>
      <c r="L109" s="24" t="str">
        <f aca="false">IF(OR(A109="",B109=""),"",Perfil!$C$13+(A109-1)*7+MATCH(B109,{"Lunes","Martes","Miércoles","Jueves","Viernes","Sábado","Domingo"},0)-1)</f>
        <v/>
      </c>
    </row>
    <row r="110" customFormat="false" ht="15" hidden="false" customHeight="false" outlineLevel="0" collapsed="false">
      <c r="G110" s="23" t="str">
        <f aca="false">IF(OR(D110="",E110=""),"",E110*IFERROR(VLOOKUP(F110,Perfil!$B$19:$C$24,2,0),1))</f>
        <v/>
      </c>
      <c r="H110" s="23" t="str">
        <f aca="false">IF(G110="","",G110/100*INDEX(Alimentos!$E$5:$E$40,MATCH($D110,Alimentos!$B$5:$B$40,0)))</f>
        <v/>
      </c>
      <c r="I110" s="23" t="str">
        <f aca="false">IF(G110="","",G110/100*INDEX(Alimentos!$F$5:$F$40,MATCH($D110,Alimentos!$B$5:$B$40,0)))</f>
        <v/>
      </c>
      <c r="J110" s="23" t="str">
        <f aca="false">IF(G110="","",G110/100*INDEX(Alimentos!$G$5:$G$40,MATCH($D110,Alimentos!$B$5:$B$40,0)))</f>
        <v/>
      </c>
      <c r="K110" s="23" t="str">
        <f aca="false">IF(G110="","",G110/100*INDEX(Alimentos!$H$5:$H$40,MATCH($D110,Alimentos!$B$5:$B$40,0)))</f>
        <v/>
      </c>
      <c r="L110" s="24" t="str">
        <f aca="false">IF(OR(A110="",B110=""),"",Perfil!$C$13+(A110-1)*7+MATCH(B110,{"Lunes","Martes","Miércoles","Jueves","Viernes","Sábado","Domingo"},0)-1)</f>
        <v/>
      </c>
    </row>
    <row r="111" customFormat="false" ht="15" hidden="false" customHeight="false" outlineLevel="0" collapsed="false">
      <c r="G111" s="23" t="str">
        <f aca="false">IF(OR(D111="",E111=""),"",E111*IFERROR(VLOOKUP(F111,Perfil!$B$19:$C$24,2,0),1))</f>
        <v/>
      </c>
      <c r="H111" s="23" t="str">
        <f aca="false">IF(G111="","",G111/100*INDEX(Alimentos!$E$5:$E$40,MATCH($D111,Alimentos!$B$5:$B$40,0)))</f>
        <v/>
      </c>
      <c r="I111" s="23" t="str">
        <f aca="false">IF(G111="","",G111/100*INDEX(Alimentos!$F$5:$F$40,MATCH($D111,Alimentos!$B$5:$B$40,0)))</f>
        <v/>
      </c>
      <c r="J111" s="23" t="str">
        <f aca="false">IF(G111="","",G111/100*INDEX(Alimentos!$G$5:$G$40,MATCH($D111,Alimentos!$B$5:$B$40,0)))</f>
        <v/>
      </c>
      <c r="K111" s="23" t="str">
        <f aca="false">IF(G111="","",G111/100*INDEX(Alimentos!$H$5:$H$40,MATCH($D111,Alimentos!$B$5:$B$40,0)))</f>
        <v/>
      </c>
      <c r="L111" s="24" t="str">
        <f aca="false">IF(OR(A111="",B111=""),"",Perfil!$C$13+(A111-1)*7+MATCH(B111,{"Lunes","Martes","Miércoles","Jueves","Viernes","Sábado","Domingo"},0)-1)</f>
        <v/>
      </c>
    </row>
    <row r="112" customFormat="false" ht="15" hidden="false" customHeight="false" outlineLevel="0" collapsed="false">
      <c r="G112" s="23" t="str">
        <f aca="false">IF(OR(D112="",E112=""),"",E112*IFERROR(VLOOKUP(F112,Perfil!$B$19:$C$24,2,0),1))</f>
        <v/>
      </c>
      <c r="H112" s="23" t="str">
        <f aca="false">IF(G112="","",G112/100*INDEX(Alimentos!$E$5:$E$40,MATCH($D112,Alimentos!$B$5:$B$40,0)))</f>
        <v/>
      </c>
      <c r="I112" s="23" t="str">
        <f aca="false">IF(G112="","",G112/100*INDEX(Alimentos!$F$5:$F$40,MATCH($D112,Alimentos!$B$5:$B$40,0)))</f>
        <v/>
      </c>
      <c r="J112" s="23" t="str">
        <f aca="false">IF(G112="","",G112/100*INDEX(Alimentos!$G$5:$G$40,MATCH($D112,Alimentos!$B$5:$B$40,0)))</f>
        <v/>
      </c>
      <c r="K112" s="23" t="str">
        <f aca="false">IF(G112="","",G112/100*INDEX(Alimentos!$H$5:$H$40,MATCH($D112,Alimentos!$B$5:$B$40,0)))</f>
        <v/>
      </c>
      <c r="L112" s="24" t="str">
        <f aca="false">IF(OR(A112="",B112=""),"",Perfil!$C$13+(A112-1)*7+MATCH(B112,{"Lunes","Martes","Miércoles","Jueves","Viernes","Sábado","Domingo"},0)-1)</f>
        <v/>
      </c>
    </row>
    <row r="113" customFormat="false" ht="15" hidden="false" customHeight="false" outlineLevel="0" collapsed="false">
      <c r="G113" s="23" t="str">
        <f aca="false">IF(OR(D113="",E113=""),"",E113*IFERROR(VLOOKUP(F113,Perfil!$B$19:$C$24,2,0),1))</f>
        <v/>
      </c>
      <c r="H113" s="23" t="str">
        <f aca="false">IF(G113="","",G113/100*INDEX(Alimentos!$E$5:$E$40,MATCH($D113,Alimentos!$B$5:$B$40,0)))</f>
        <v/>
      </c>
      <c r="I113" s="23" t="str">
        <f aca="false">IF(G113="","",G113/100*INDEX(Alimentos!$F$5:$F$40,MATCH($D113,Alimentos!$B$5:$B$40,0)))</f>
        <v/>
      </c>
      <c r="J113" s="23" t="str">
        <f aca="false">IF(G113="","",G113/100*INDEX(Alimentos!$G$5:$G$40,MATCH($D113,Alimentos!$B$5:$B$40,0)))</f>
        <v/>
      </c>
      <c r="K113" s="23" t="str">
        <f aca="false">IF(G113="","",G113/100*INDEX(Alimentos!$H$5:$H$40,MATCH($D113,Alimentos!$B$5:$B$40,0)))</f>
        <v/>
      </c>
      <c r="L113" s="24" t="str">
        <f aca="false">IF(OR(A113="",B113=""),"",Perfil!$C$13+(A113-1)*7+MATCH(B113,{"Lunes","Martes","Miércoles","Jueves","Viernes","Sábado","Domingo"},0)-1)</f>
        <v/>
      </c>
    </row>
    <row r="114" customFormat="false" ht="15" hidden="false" customHeight="false" outlineLevel="0" collapsed="false">
      <c r="G114" s="23" t="str">
        <f aca="false">IF(OR(D114="",E114=""),"",E114*IFERROR(VLOOKUP(F114,Perfil!$B$19:$C$24,2,0),1))</f>
        <v/>
      </c>
      <c r="H114" s="23" t="str">
        <f aca="false">IF(G114="","",G114/100*INDEX(Alimentos!$E$5:$E$40,MATCH($D114,Alimentos!$B$5:$B$40,0)))</f>
        <v/>
      </c>
      <c r="I114" s="23" t="str">
        <f aca="false">IF(G114="","",G114/100*INDEX(Alimentos!$F$5:$F$40,MATCH($D114,Alimentos!$B$5:$B$40,0)))</f>
        <v/>
      </c>
      <c r="J114" s="23" t="str">
        <f aca="false">IF(G114="","",G114/100*INDEX(Alimentos!$G$5:$G$40,MATCH($D114,Alimentos!$B$5:$B$40,0)))</f>
        <v/>
      </c>
      <c r="K114" s="23" t="str">
        <f aca="false">IF(G114="","",G114/100*INDEX(Alimentos!$H$5:$H$40,MATCH($D114,Alimentos!$B$5:$B$40,0)))</f>
        <v/>
      </c>
      <c r="L114" s="24" t="str">
        <f aca="false">IF(OR(A114="",B114=""),"",Perfil!$C$13+(A114-1)*7+MATCH(B114,{"Lunes","Martes","Miércoles","Jueves","Viernes","Sábado","Domingo"},0)-1)</f>
        <v/>
      </c>
    </row>
    <row r="115" customFormat="false" ht="15" hidden="false" customHeight="false" outlineLevel="0" collapsed="false">
      <c r="G115" s="23" t="str">
        <f aca="false">IF(OR(D115="",E115=""),"",E115*IFERROR(VLOOKUP(F115,Perfil!$B$19:$C$24,2,0),1))</f>
        <v/>
      </c>
      <c r="H115" s="23" t="str">
        <f aca="false">IF(G115="","",G115/100*INDEX(Alimentos!$E$5:$E$40,MATCH($D115,Alimentos!$B$5:$B$40,0)))</f>
        <v/>
      </c>
      <c r="I115" s="23" t="str">
        <f aca="false">IF(G115="","",G115/100*INDEX(Alimentos!$F$5:$F$40,MATCH($D115,Alimentos!$B$5:$B$40,0)))</f>
        <v/>
      </c>
      <c r="J115" s="23" t="str">
        <f aca="false">IF(G115="","",G115/100*INDEX(Alimentos!$G$5:$G$40,MATCH($D115,Alimentos!$B$5:$B$40,0)))</f>
        <v/>
      </c>
      <c r="K115" s="23" t="str">
        <f aca="false">IF(G115="","",G115/100*INDEX(Alimentos!$H$5:$H$40,MATCH($D115,Alimentos!$B$5:$B$40,0)))</f>
        <v/>
      </c>
      <c r="L115" s="24" t="str">
        <f aca="false">IF(OR(A115="",B115=""),"",Perfil!$C$13+(A115-1)*7+MATCH(B115,{"Lunes","Martes","Miércoles","Jueves","Viernes","Sábado","Domingo"},0)-1)</f>
        <v/>
      </c>
    </row>
    <row r="116" customFormat="false" ht="15" hidden="false" customHeight="false" outlineLevel="0" collapsed="false">
      <c r="G116" s="23" t="str">
        <f aca="false">IF(OR(D116="",E116=""),"",E116*IFERROR(VLOOKUP(F116,Perfil!$B$19:$C$24,2,0),1))</f>
        <v/>
      </c>
      <c r="H116" s="23" t="str">
        <f aca="false">IF(G116="","",G116/100*INDEX(Alimentos!$E$5:$E$40,MATCH($D116,Alimentos!$B$5:$B$40,0)))</f>
        <v/>
      </c>
      <c r="I116" s="23" t="str">
        <f aca="false">IF(G116="","",G116/100*INDEX(Alimentos!$F$5:$F$40,MATCH($D116,Alimentos!$B$5:$B$40,0)))</f>
        <v/>
      </c>
      <c r="J116" s="23" t="str">
        <f aca="false">IF(G116="","",G116/100*INDEX(Alimentos!$G$5:$G$40,MATCH($D116,Alimentos!$B$5:$B$40,0)))</f>
        <v/>
      </c>
      <c r="K116" s="23" t="str">
        <f aca="false">IF(G116="","",G116/100*INDEX(Alimentos!$H$5:$H$40,MATCH($D116,Alimentos!$B$5:$B$40,0)))</f>
        <v/>
      </c>
      <c r="L116" s="24" t="str">
        <f aca="false">IF(OR(A116="",B116=""),"",Perfil!$C$13+(A116-1)*7+MATCH(B116,{"Lunes","Martes","Miércoles","Jueves","Viernes","Sábado","Domingo"},0)-1)</f>
        <v/>
      </c>
    </row>
    <row r="117" customFormat="false" ht="15" hidden="false" customHeight="false" outlineLevel="0" collapsed="false">
      <c r="G117" s="23" t="str">
        <f aca="false">IF(OR(D117="",E117=""),"",E117*IFERROR(VLOOKUP(F117,Perfil!$B$19:$C$24,2,0),1))</f>
        <v/>
      </c>
      <c r="H117" s="23" t="str">
        <f aca="false">IF(G117="","",G117/100*INDEX(Alimentos!$E$5:$E$40,MATCH($D117,Alimentos!$B$5:$B$40,0)))</f>
        <v/>
      </c>
      <c r="I117" s="23" t="str">
        <f aca="false">IF(G117="","",G117/100*INDEX(Alimentos!$F$5:$F$40,MATCH($D117,Alimentos!$B$5:$B$40,0)))</f>
        <v/>
      </c>
      <c r="J117" s="23" t="str">
        <f aca="false">IF(G117="","",G117/100*INDEX(Alimentos!$G$5:$G$40,MATCH($D117,Alimentos!$B$5:$B$40,0)))</f>
        <v/>
      </c>
      <c r="K117" s="23" t="str">
        <f aca="false">IF(G117="","",G117/100*INDEX(Alimentos!$H$5:$H$40,MATCH($D117,Alimentos!$B$5:$B$40,0)))</f>
        <v/>
      </c>
      <c r="L117" s="24" t="str">
        <f aca="false">IF(OR(A117="",B117=""),"",Perfil!$C$13+(A117-1)*7+MATCH(B117,{"Lunes","Martes","Miércoles","Jueves","Viernes","Sábado","Domingo"},0)-1)</f>
        <v/>
      </c>
    </row>
    <row r="118" customFormat="false" ht="15" hidden="false" customHeight="false" outlineLevel="0" collapsed="false">
      <c r="G118" s="23" t="str">
        <f aca="false">IF(OR(D118="",E118=""),"",E118*IFERROR(VLOOKUP(F118,Perfil!$B$19:$C$24,2,0),1))</f>
        <v/>
      </c>
      <c r="H118" s="23" t="str">
        <f aca="false">IF(G118="","",G118/100*INDEX(Alimentos!$E$5:$E$40,MATCH($D118,Alimentos!$B$5:$B$40,0)))</f>
        <v/>
      </c>
      <c r="I118" s="23" t="str">
        <f aca="false">IF(G118="","",G118/100*INDEX(Alimentos!$F$5:$F$40,MATCH($D118,Alimentos!$B$5:$B$40,0)))</f>
        <v/>
      </c>
      <c r="J118" s="23" t="str">
        <f aca="false">IF(G118="","",G118/100*INDEX(Alimentos!$G$5:$G$40,MATCH($D118,Alimentos!$B$5:$B$40,0)))</f>
        <v/>
      </c>
      <c r="K118" s="23" t="str">
        <f aca="false">IF(G118="","",G118/100*INDEX(Alimentos!$H$5:$H$40,MATCH($D118,Alimentos!$B$5:$B$40,0)))</f>
        <v/>
      </c>
      <c r="L118" s="24" t="str">
        <f aca="false">IF(OR(A118="",B118=""),"",Perfil!$C$13+(A118-1)*7+MATCH(B118,{"Lunes","Martes","Miércoles","Jueves","Viernes","Sábado","Domingo"},0)-1)</f>
        <v/>
      </c>
    </row>
    <row r="119" customFormat="false" ht="15" hidden="false" customHeight="false" outlineLevel="0" collapsed="false">
      <c r="G119" s="23" t="str">
        <f aca="false">IF(OR(D119="",E119=""),"",E119*IFERROR(VLOOKUP(F119,Perfil!$B$19:$C$24,2,0),1))</f>
        <v/>
      </c>
      <c r="H119" s="23" t="str">
        <f aca="false">IF(G119="","",G119/100*INDEX(Alimentos!$E$5:$E$40,MATCH($D119,Alimentos!$B$5:$B$40,0)))</f>
        <v/>
      </c>
      <c r="I119" s="23" t="str">
        <f aca="false">IF(G119="","",G119/100*INDEX(Alimentos!$F$5:$F$40,MATCH($D119,Alimentos!$B$5:$B$40,0)))</f>
        <v/>
      </c>
      <c r="J119" s="23" t="str">
        <f aca="false">IF(G119="","",G119/100*INDEX(Alimentos!$G$5:$G$40,MATCH($D119,Alimentos!$B$5:$B$40,0)))</f>
        <v/>
      </c>
      <c r="K119" s="23" t="str">
        <f aca="false">IF(G119="","",G119/100*INDEX(Alimentos!$H$5:$H$40,MATCH($D119,Alimentos!$B$5:$B$40,0)))</f>
        <v/>
      </c>
      <c r="L119" s="24" t="str">
        <f aca="false">IF(OR(A119="",B119=""),"",Perfil!$C$13+(A119-1)*7+MATCH(B119,{"Lunes","Martes","Miércoles","Jueves","Viernes","Sábado","Domingo"},0)-1)</f>
        <v/>
      </c>
    </row>
    <row r="120" customFormat="false" ht="15" hidden="false" customHeight="false" outlineLevel="0" collapsed="false">
      <c r="G120" s="23" t="str">
        <f aca="false">IF(OR(D120="",E120=""),"",E120*IFERROR(VLOOKUP(F120,Perfil!$B$19:$C$24,2,0),1))</f>
        <v/>
      </c>
      <c r="H120" s="23" t="str">
        <f aca="false">IF(G120="","",G120/100*INDEX(Alimentos!$E$5:$E$40,MATCH($D120,Alimentos!$B$5:$B$40,0)))</f>
        <v/>
      </c>
      <c r="I120" s="23" t="str">
        <f aca="false">IF(G120="","",G120/100*INDEX(Alimentos!$F$5:$F$40,MATCH($D120,Alimentos!$B$5:$B$40,0)))</f>
        <v/>
      </c>
      <c r="J120" s="23" t="str">
        <f aca="false">IF(G120="","",G120/100*INDEX(Alimentos!$G$5:$G$40,MATCH($D120,Alimentos!$B$5:$B$40,0)))</f>
        <v/>
      </c>
      <c r="K120" s="23" t="str">
        <f aca="false">IF(G120="","",G120/100*INDEX(Alimentos!$H$5:$H$40,MATCH($D120,Alimentos!$B$5:$B$40,0)))</f>
        <v/>
      </c>
      <c r="L120" s="24" t="str">
        <f aca="false">IF(OR(A120="",B120=""),"",Perfil!$C$13+(A120-1)*7+MATCH(B120,{"Lunes","Martes","Miércoles","Jueves","Viernes","Sábado","Domingo"},0)-1)</f>
        <v/>
      </c>
    </row>
    <row r="121" customFormat="false" ht="15" hidden="false" customHeight="false" outlineLevel="0" collapsed="false">
      <c r="G121" s="23" t="str">
        <f aca="false">IF(OR(D121="",E121=""),"",E121*IFERROR(VLOOKUP(F121,Perfil!$B$19:$C$24,2,0),1))</f>
        <v/>
      </c>
      <c r="H121" s="23" t="str">
        <f aca="false">IF(G121="","",G121/100*INDEX(Alimentos!$E$5:$E$40,MATCH($D121,Alimentos!$B$5:$B$40,0)))</f>
        <v/>
      </c>
      <c r="I121" s="23" t="str">
        <f aca="false">IF(G121="","",G121/100*INDEX(Alimentos!$F$5:$F$40,MATCH($D121,Alimentos!$B$5:$B$40,0)))</f>
        <v/>
      </c>
      <c r="J121" s="23" t="str">
        <f aca="false">IF(G121="","",G121/100*INDEX(Alimentos!$G$5:$G$40,MATCH($D121,Alimentos!$B$5:$B$40,0)))</f>
        <v/>
      </c>
      <c r="K121" s="23" t="str">
        <f aca="false">IF(G121="","",G121/100*INDEX(Alimentos!$H$5:$H$40,MATCH($D121,Alimentos!$B$5:$B$40,0)))</f>
        <v/>
      </c>
      <c r="L121" s="24" t="str">
        <f aca="false">IF(OR(A121="",B121=""),"",Perfil!$C$13+(A121-1)*7+MATCH(B121,{"Lunes","Martes","Miércoles","Jueves","Viernes","Sábado","Domingo"},0)-1)</f>
        <v/>
      </c>
    </row>
    <row r="122" customFormat="false" ht="15" hidden="false" customHeight="false" outlineLevel="0" collapsed="false">
      <c r="G122" s="23" t="str">
        <f aca="false">IF(OR(D122="",E122=""),"",E122*IFERROR(VLOOKUP(F122,Perfil!$B$19:$C$24,2,0),1))</f>
        <v/>
      </c>
      <c r="H122" s="23" t="str">
        <f aca="false">IF(G122="","",G122/100*INDEX(Alimentos!$E$5:$E$40,MATCH($D122,Alimentos!$B$5:$B$40,0)))</f>
        <v/>
      </c>
      <c r="I122" s="23" t="str">
        <f aca="false">IF(G122="","",G122/100*INDEX(Alimentos!$F$5:$F$40,MATCH($D122,Alimentos!$B$5:$B$40,0)))</f>
        <v/>
      </c>
      <c r="J122" s="23" t="str">
        <f aca="false">IF(G122="","",G122/100*INDEX(Alimentos!$G$5:$G$40,MATCH($D122,Alimentos!$B$5:$B$40,0)))</f>
        <v/>
      </c>
      <c r="K122" s="23" t="str">
        <f aca="false">IF(G122="","",G122/100*INDEX(Alimentos!$H$5:$H$40,MATCH($D122,Alimentos!$B$5:$B$40,0)))</f>
        <v/>
      </c>
      <c r="L122" s="24" t="str">
        <f aca="false">IF(OR(A122="",B122=""),"",Perfil!$C$13+(A122-1)*7+MATCH(B122,{"Lunes","Martes","Miércoles","Jueves","Viernes","Sábado","Domingo"},0)-1)</f>
        <v/>
      </c>
    </row>
    <row r="123" customFormat="false" ht="15" hidden="false" customHeight="false" outlineLevel="0" collapsed="false">
      <c r="G123" s="23" t="str">
        <f aca="false">IF(OR(D123="",E123=""),"",E123*IFERROR(VLOOKUP(F123,Perfil!$B$19:$C$24,2,0),1))</f>
        <v/>
      </c>
      <c r="H123" s="23" t="str">
        <f aca="false">IF(G123="","",G123/100*INDEX(Alimentos!$E$5:$E$40,MATCH($D123,Alimentos!$B$5:$B$40,0)))</f>
        <v/>
      </c>
      <c r="I123" s="23" t="str">
        <f aca="false">IF(G123="","",G123/100*INDEX(Alimentos!$F$5:$F$40,MATCH($D123,Alimentos!$B$5:$B$40,0)))</f>
        <v/>
      </c>
      <c r="J123" s="23" t="str">
        <f aca="false">IF(G123="","",G123/100*INDEX(Alimentos!$G$5:$G$40,MATCH($D123,Alimentos!$B$5:$B$40,0)))</f>
        <v/>
      </c>
      <c r="K123" s="23" t="str">
        <f aca="false">IF(G123="","",G123/100*INDEX(Alimentos!$H$5:$H$40,MATCH($D123,Alimentos!$B$5:$B$40,0)))</f>
        <v/>
      </c>
      <c r="L123" s="24" t="str">
        <f aca="false">IF(OR(A123="",B123=""),"",Perfil!$C$13+(A123-1)*7+MATCH(B123,{"Lunes","Martes","Miércoles","Jueves","Viernes","Sábado","Domingo"},0)-1)</f>
        <v/>
      </c>
    </row>
    <row r="124" customFormat="false" ht="15" hidden="false" customHeight="false" outlineLevel="0" collapsed="false">
      <c r="G124" s="23" t="str">
        <f aca="false">IF(OR(D124="",E124=""),"",E124*IFERROR(VLOOKUP(F124,Perfil!$B$19:$C$24,2,0),1))</f>
        <v/>
      </c>
      <c r="H124" s="23" t="str">
        <f aca="false">IF(G124="","",G124/100*INDEX(Alimentos!$E$5:$E$40,MATCH($D124,Alimentos!$B$5:$B$40,0)))</f>
        <v/>
      </c>
      <c r="I124" s="23" t="str">
        <f aca="false">IF(G124="","",G124/100*INDEX(Alimentos!$F$5:$F$40,MATCH($D124,Alimentos!$B$5:$B$40,0)))</f>
        <v/>
      </c>
      <c r="J124" s="23" t="str">
        <f aca="false">IF(G124="","",G124/100*INDEX(Alimentos!$G$5:$G$40,MATCH($D124,Alimentos!$B$5:$B$40,0)))</f>
        <v/>
      </c>
      <c r="K124" s="23" t="str">
        <f aca="false">IF(G124="","",G124/100*INDEX(Alimentos!$H$5:$H$40,MATCH($D124,Alimentos!$B$5:$B$40,0)))</f>
        <v/>
      </c>
      <c r="L124" s="24" t="str">
        <f aca="false">IF(OR(A124="",B124=""),"",Perfil!$C$13+(A124-1)*7+MATCH(B124,{"Lunes","Martes","Miércoles","Jueves","Viernes","Sábado","Domingo"},0)-1)</f>
        <v/>
      </c>
    </row>
    <row r="125" customFormat="false" ht="15" hidden="false" customHeight="false" outlineLevel="0" collapsed="false">
      <c r="G125" s="23" t="str">
        <f aca="false">IF(OR(D125="",E125=""),"",E125*IFERROR(VLOOKUP(F125,Perfil!$B$19:$C$24,2,0),1))</f>
        <v/>
      </c>
      <c r="H125" s="23" t="str">
        <f aca="false">IF(G125="","",G125/100*INDEX(Alimentos!$E$5:$E$40,MATCH($D125,Alimentos!$B$5:$B$40,0)))</f>
        <v/>
      </c>
      <c r="I125" s="23" t="str">
        <f aca="false">IF(G125="","",G125/100*INDEX(Alimentos!$F$5:$F$40,MATCH($D125,Alimentos!$B$5:$B$40,0)))</f>
        <v/>
      </c>
      <c r="J125" s="23" t="str">
        <f aca="false">IF(G125="","",G125/100*INDEX(Alimentos!$G$5:$G$40,MATCH($D125,Alimentos!$B$5:$B$40,0)))</f>
        <v/>
      </c>
      <c r="K125" s="23" t="str">
        <f aca="false">IF(G125="","",G125/100*INDEX(Alimentos!$H$5:$H$40,MATCH($D125,Alimentos!$B$5:$B$40,0)))</f>
        <v/>
      </c>
      <c r="L125" s="24" t="str">
        <f aca="false">IF(OR(A125="",B125=""),"",Perfil!$C$13+(A125-1)*7+MATCH(B125,{"Lunes","Martes","Miércoles","Jueves","Viernes","Sábado","Domingo"},0)-1)</f>
        <v/>
      </c>
    </row>
    <row r="126" customFormat="false" ht="15" hidden="false" customHeight="false" outlineLevel="0" collapsed="false">
      <c r="G126" s="23" t="str">
        <f aca="false">IF(OR(D126="",E126=""),"",E126*IFERROR(VLOOKUP(F126,Perfil!$B$19:$C$24,2,0),1))</f>
        <v/>
      </c>
      <c r="H126" s="23" t="str">
        <f aca="false">IF(G126="","",G126/100*INDEX(Alimentos!$E$5:$E$40,MATCH($D126,Alimentos!$B$5:$B$40,0)))</f>
        <v/>
      </c>
      <c r="I126" s="23" t="str">
        <f aca="false">IF(G126="","",G126/100*INDEX(Alimentos!$F$5:$F$40,MATCH($D126,Alimentos!$B$5:$B$40,0)))</f>
        <v/>
      </c>
      <c r="J126" s="23" t="str">
        <f aca="false">IF(G126="","",G126/100*INDEX(Alimentos!$G$5:$G$40,MATCH($D126,Alimentos!$B$5:$B$40,0)))</f>
        <v/>
      </c>
      <c r="K126" s="23" t="str">
        <f aca="false">IF(G126="","",G126/100*INDEX(Alimentos!$H$5:$H$40,MATCH($D126,Alimentos!$B$5:$B$40,0)))</f>
        <v/>
      </c>
      <c r="L126" s="24" t="str">
        <f aca="false">IF(OR(A126="",B126=""),"",Perfil!$C$13+(A126-1)*7+MATCH(B126,{"Lunes","Martes","Miércoles","Jueves","Viernes","Sábado","Domingo"},0)-1)</f>
        <v/>
      </c>
    </row>
    <row r="127" customFormat="false" ht="15" hidden="false" customHeight="false" outlineLevel="0" collapsed="false">
      <c r="G127" s="23" t="str">
        <f aca="false">IF(OR(D127="",E127=""),"",E127*IFERROR(VLOOKUP(F127,Perfil!$B$19:$C$24,2,0),1))</f>
        <v/>
      </c>
      <c r="H127" s="23" t="str">
        <f aca="false">IF(G127="","",G127/100*INDEX(Alimentos!$E$5:$E$40,MATCH($D127,Alimentos!$B$5:$B$40,0)))</f>
        <v/>
      </c>
      <c r="I127" s="23" t="str">
        <f aca="false">IF(G127="","",G127/100*INDEX(Alimentos!$F$5:$F$40,MATCH($D127,Alimentos!$B$5:$B$40,0)))</f>
        <v/>
      </c>
      <c r="J127" s="23" t="str">
        <f aca="false">IF(G127="","",G127/100*INDEX(Alimentos!$G$5:$G$40,MATCH($D127,Alimentos!$B$5:$B$40,0)))</f>
        <v/>
      </c>
      <c r="K127" s="23" t="str">
        <f aca="false">IF(G127="","",G127/100*INDEX(Alimentos!$H$5:$H$40,MATCH($D127,Alimentos!$B$5:$B$40,0)))</f>
        <v/>
      </c>
      <c r="L127" s="24" t="str">
        <f aca="false">IF(OR(A127="",B127=""),"",Perfil!$C$13+(A127-1)*7+MATCH(B127,{"Lunes","Martes","Miércoles","Jueves","Viernes","Sábado","Domingo"},0)-1)</f>
        <v/>
      </c>
    </row>
    <row r="128" customFormat="false" ht="15" hidden="false" customHeight="false" outlineLevel="0" collapsed="false">
      <c r="G128" s="23" t="str">
        <f aca="false">IF(OR(D128="",E128=""),"",E128*IFERROR(VLOOKUP(F128,Perfil!$B$19:$C$24,2,0),1))</f>
        <v/>
      </c>
      <c r="H128" s="23" t="str">
        <f aca="false">IF(G128="","",G128/100*INDEX(Alimentos!$E$5:$E$40,MATCH($D128,Alimentos!$B$5:$B$40,0)))</f>
        <v/>
      </c>
      <c r="I128" s="23" t="str">
        <f aca="false">IF(G128="","",G128/100*INDEX(Alimentos!$F$5:$F$40,MATCH($D128,Alimentos!$B$5:$B$40,0)))</f>
        <v/>
      </c>
      <c r="J128" s="23" t="str">
        <f aca="false">IF(G128="","",G128/100*INDEX(Alimentos!$G$5:$G$40,MATCH($D128,Alimentos!$B$5:$B$40,0)))</f>
        <v/>
      </c>
      <c r="K128" s="23" t="str">
        <f aca="false">IF(G128="","",G128/100*INDEX(Alimentos!$H$5:$H$40,MATCH($D128,Alimentos!$B$5:$B$40,0)))</f>
        <v/>
      </c>
      <c r="L128" s="24" t="str">
        <f aca="false">IF(OR(A128="",B128=""),"",Perfil!$C$13+(A128-1)*7+MATCH(B128,{"Lunes","Martes","Miércoles","Jueves","Viernes","Sábado","Domingo"},0)-1)</f>
        <v/>
      </c>
    </row>
    <row r="129" customFormat="false" ht="15" hidden="false" customHeight="false" outlineLevel="0" collapsed="false">
      <c r="G129" s="23" t="str">
        <f aca="false">IF(OR(D129="",E129=""),"",E129*IFERROR(VLOOKUP(F129,Perfil!$B$19:$C$24,2,0),1))</f>
        <v/>
      </c>
      <c r="H129" s="23" t="str">
        <f aca="false">IF(G129="","",G129/100*INDEX(Alimentos!$E$5:$E$40,MATCH($D129,Alimentos!$B$5:$B$40,0)))</f>
        <v/>
      </c>
      <c r="I129" s="23" t="str">
        <f aca="false">IF(G129="","",G129/100*INDEX(Alimentos!$F$5:$F$40,MATCH($D129,Alimentos!$B$5:$B$40,0)))</f>
        <v/>
      </c>
      <c r="J129" s="23" t="str">
        <f aca="false">IF(G129="","",G129/100*INDEX(Alimentos!$G$5:$G$40,MATCH($D129,Alimentos!$B$5:$B$40,0)))</f>
        <v/>
      </c>
      <c r="K129" s="23" t="str">
        <f aca="false">IF(G129="","",G129/100*INDEX(Alimentos!$H$5:$H$40,MATCH($D129,Alimentos!$B$5:$B$40,0)))</f>
        <v/>
      </c>
      <c r="L129" s="24" t="str">
        <f aca="false">IF(OR(A129="",B129=""),"",Perfil!$C$13+(A129-1)*7+MATCH(B129,{"Lunes","Martes","Miércoles","Jueves","Viernes","Sábado","Domingo"},0)-1)</f>
        <v/>
      </c>
    </row>
    <row r="130" customFormat="false" ht="15" hidden="false" customHeight="false" outlineLevel="0" collapsed="false">
      <c r="G130" s="23" t="str">
        <f aca="false">IF(OR(D130="",E130=""),"",E130*IFERROR(VLOOKUP(F130,Perfil!$B$19:$C$24,2,0),1))</f>
        <v/>
      </c>
      <c r="H130" s="23" t="str">
        <f aca="false">IF(G130="","",G130/100*INDEX(Alimentos!$E$5:$E$40,MATCH($D130,Alimentos!$B$5:$B$40,0)))</f>
        <v/>
      </c>
      <c r="I130" s="23" t="str">
        <f aca="false">IF(G130="","",G130/100*INDEX(Alimentos!$F$5:$F$40,MATCH($D130,Alimentos!$B$5:$B$40,0)))</f>
        <v/>
      </c>
      <c r="J130" s="23" t="str">
        <f aca="false">IF(G130="","",G130/100*INDEX(Alimentos!$G$5:$G$40,MATCH($D130,Alimentos!$B$5:$B$40,0)))</f>
        <v/>
      </c>
      <c r="K130" s="23" t="str">
        <f aca="false">IF(G130="","",G130/100*INDEX(Alimentos!$H$5:$H$40,MATCH($D130,Alimentos!$B$5:$B$40,0)))</f>
        <v/>
      </c>
      <c r="L130" s="24" t="str">
        <f aca="false">IF(OR(A130="",B130=""),"",Perfil!$C$13+(A130-1)*7+MATCH(B130,{"Lunes","Martes","Miércoles","Jueves","Viernes","Sábado","Domingo"},0)-1)</f>
        <v/>
      </c>
    </row>
    <row r="131" customFormat="false" ht="15" hidden="false" customHeight="false" outlineLevel="0" collapsed="false">
      <c r="G131" s="23" t="str">
        <f aca="false">IF(OR(D131="",E131=""),"",E131*IFERROR(VLOOKUP(F131,Perfil!$B$19:$C$24,2,0),1))</f>
        <v/>
      </c>
      <c r="H131" s="23" t="str">
        <f aca="false">IF(G131="","",G131/100*INDEX(Alimentos!$E$5:$E$40,MATCH($D131,Alimentos!$B$5:$B$40,0)))</f>
        <v/>
      </c>
      <c r="I131" s="23" t="str">
        <f aca="false">IF(G131="","",G131/100*INDEX(Alimentos!$F$5:$F$40,MATCH($D131,Alimentos!$B$5:$B$40,0)))</f>
        <v/>
      </c>
      <c r="J131" s="23" t="str">
        <f aca="false">IF(G131="","",G131/100*INDEX(Alimentos!$G$5:$G$40,MATCH($D131,Alimentos!$B$5:$B$40,0)))</f>
        <v/>
      </c>
      <c r="K131" s="23" t="str">
        <f aca="false">IF(G131="","",G131/100*INDEX(Alimentos!$H$5:$H$40,MATCH($D131,Alimentos!$B$5:$B$40,0)))</f>
        <v/>
      </c>
      <c r="L131" s="24" t="str">
        <f aca="false">IF(OR(A131="",B131=""),"",Perfil!$C$13+(A131-1)*7+MATCH(B131,{"Lunes","Martes","Miércoles","Jueves","Viernes","Sábado","Domingo"},0)-1)</f>
        <v/>
      </c>
    </row>
    <row r="132" customFormat="false" ht="15" hidden="false" customHeight="false" outlineLevel="0" collapsed="false">
      <c r="G132" s="23" t="str">
        <f aca="false">IF(OR(D132="",E132=""),"",E132*IFERROR(VLOOKUP(F132,Perfil!$B$19:$C$24,2,0),1))</f>
        <v/>
      </c>
      <c r="H132" s="23" t="str">
        <f aca="false">IF(G132="","",G132/100*INDEX(Alimentos!$E$5:$E$40,MATCH($D132,Alimentos!$B$5:$B$40,0)))</f>
        <v/>
      </c>
      <c r="I132" s="23" t="str">
        <f aca="false">IF(G132="","",G132/100*INDEX(Alimentos!$F$5:$F$40,MATCH($D132,Alimentos!$B$5:$B$40,0)))</f>
        <v/>
      </c>
      <c r="J132" s="23" t="str">
        <f aca="false">IF(G132="","",G132/100*INDEX(Alimentos!$G$5:$G$40,MATCH($D132,Alimentos!$B$5:$B$40,0)))</f>
        <v/>
      </c>
      <c r="K132" s="23" t="str">
        <f aca="false">IF(G132="","",G132/100*INDEX(Alimentos!$H$5:$H$40,MATCH($D132,Alimentos!$B$5:$B$40,0)))</f>
        <v/>
      </c>
      <c r="L132" s="24" t="str">
        <f aca="false">IF(OR(A132="",B132=""),"",Perfil!$C$13+(A132-1)*7+MATCH(B132,{"Lunes","Martes","Miércoles","Jueves","Viernes","Sábado","Domingo"},0)-1)</f>
        <v/>
      </c>
    </row>
    <row r="133" customFormat="false" ht="15" hidden="false" customHeight="false" outlineLevel="0" collapsed="false">
      <c r="G133" s="23" t="str">
        <f aca="false">IF(OR(D133="",E133=""),"",E133*IFERROR(VLOOKUP(F133,Perfil!$B$19:$C$24,2,0),1))</f>
        <v/>
      </c>
      <c r="H133" s="23" t="str">
        <f aca="false">IF(G133="","",G133/100*INDEX(Alimentos!$E$5:$E$40,MATCH($D133,Alimentos!$B$5:$B$40,0)))</f>
        <v/>
      </c>
      <c r="I133" s="23" t="str">
        <f aca="false">IF(G133="","",G133/100*INDEX(Alimentos!$F$5:$F$40,MATCH($D133,Alimentos!$B$5:$B$40,0)))</f>
        <v/>
      </c>
      <c r="J133" s="23" t="str">
        <f aca="false">IF(G133="","",G133/100*INDEX(Alimentos!$G$5:$G$40,MATCH($D133,Alimentos!$B$5:$B$40,0)))</f>
        <v/>
      </c>
      <c r="K133" s="23" t="str">
        <f aca="false">IF(G133="","",G133/100*INDEX(Alimentos!$H$5:$H$40,MATCH($D133,Alimentos!$B$5:$B$40,0)))</f>
        <v/>
      </c>
      <c r="L133" s="24" t="str">
        <f aca="false">IF(OR(A133="",B133=""),"",Perfil!$C$13+(A133-1)*7+MATCH(B133,{"Lunes","Martes","Miércoles","Jueves","Viernes","Sábado","Domingo"},0)-1)</f>
        <v/>
      </c>
    </row>
    <row r="134" customFormat="false" ht="15" hidden="false" customHeight="false" outlineLevel="0" collapsed="false">
      <c r="G134" s="23" t="str">
        <f aca="false">IF(OR(D134="",E134=""),"",E134*IFERROR(VLOOKUP(F134,Perfil!$B$19:$C$24,2,0),1))</f>
        <v/>
      </c>
      <c r="H134" s="23" t="str">
        <f aca="false">IF(G134="","",G134/100*INDEX(Alimentos!$E$5:$E$40,MATCH($D134,Alimentos!$B$5:$B$40,0)))</f>
        <v/>
      </c>
      <c r="I134" s="23" t="str">
        <f aca="false">IF(G134="","",G134/100*INDEX(Alimentos!$F$5:$F$40,MATCH($D134,Alimentos!$B$5:$B$40,0)))</f>
        <v/>
      </c>
      <c r="J134" s="23" t="str">
        <f aca="false">IF(G134="","",G134/100*INDEX(Alimentos!$G$5:$G$40,MATCH($D134,Alimentos!$B$5:$B$40,0)))</f>
        <v/>
      </c>
      <c r="K134" s="23" t="str">
        <f aca="false">IF(G134="","",G134/100*INDEX(Alimentos!$H$5:$H$40,MATCH($D134,Alimentos!$B$5:$B$40,0)))</f>
        <v/>
      </c>
      <c r="L134" s="24" t="str">
        <f aca="false">IF(OR(A134="",B134=""),"",Perfil!$C$13+(A134-1)*7+MATCH(B134,{"Lunes","Martes","Miércoles","Jueves","Viernes","Sábado","Domingo"},0)-1)</f>
        <v/>
      </c>
    </row>
    <row r="135" customFormat="false" ht="15" hidden="false" customHeight="false" outlineLevel="0" collapsed="false">
      <c r="G135" s="23" t="str">
        <f aca="false">IF(OR(D135="",E135=""),"",E135*IFERROR(VLOOKUP(F135,Perfil!$B$19:$C$24,2,0),1))</f>
        <v/>
      </c>
      <c r="H135" s="23" t="str">
        <f aca="false">IF(G135="","",G135/100*INDEX(Alimentos!$E$5:$E$40,MATCH($D135,Alimentos!$B$5:$B$40,0)))</f>
        <v/>
      </c>
      <c r="I135" s="23" t="str">
        <f aca="false">IF(G135="","",G135/100*INDEX(Alimentos!$F$5:$F$40,MATCH($D135,Alimentos!$B$5:$B$40,0)))</f>
        <v/>
      </c>
      <c r="J135" s="23" t="str">
        <f aca="false">IF(G135="","",G135/100*INDEX(Alimentos!$G$5:$G$40,MATCH($D135,Alimentos!$B$5:$B$40,0)))</f>
        <v/>
      </c>
      <c r="K135" s="23" t="str">
        <f aca="false">IF(G135="","",G135/100*INDEX(Alimentos!$H$5:$H$40,MATCH($D135,Alimentos!$B$5:$B$40,0)))</f>
        <v/>
      </c>
      <c r="L135" s="24" t="str">
        <f aca="false">IF(OR(A135="",B135=""),"",Perfil!$C$13+(A135-1)*7+MATCH(B135,{"Lunes","Martes","Miércoles","Jueves","Viernes","Sábado","Domingo"},0)-1)</f>
        <v/>
      </c>
    </row>
    <row r="136" customFormat="false" ht="15" hidden="false" customHeight="false" outlineLevel="0" collapsed="false">
      <c r="G136" s="23" t="str">
        <f aca="false">IF(OR(D136="",E136=""),"",E136*IFERROR(VLOOKUP(F136,Perfil!$B$19:$C$24,2,0),1))</f>
        <v/>
      </c>
      <c r="H136" s="23" t="str">
        <f aca="false">IF(G136="","",G136/100*INDEX(Alimentos!$E$5:$E$40,MATCH($D136,Alimentos!$B$5:$B$40,0)))</f>
        <v/>
      </c>
      <c r="I136" s="23" t="str">
        <f aca="false">IF(G136="","",G136/100*INDEX(Alimentos!$F$5:$F$40,MATCH($D136,Alimentos!$B$5:$B$40,0)))</f>
        <v/>
      </c>
      <c r="J136" s="23" t="str">
        <f aca="false">IF(G136="","",G136/100*INDEX(Alimentos!$G$5:$G$40,MATCH($D136,Alimentos!$B$5:$B$40,0)))</f>
        <v/>
      </c>
      <c r="K136" s="23" t="str">
        <f aca="false">IF(G136="","",G136/100*INDEX(Alimentos!$H$5:$H$40,MATCH($D136,Alimentos!$B$5:$B$40,0)))</f>
        <v/>
      </c>
      <c r="L136" s="24" t="str">
        <f aca="false">IF(OR(A136="",B136=""),"",Perfil!$C$13+(A136-1)*7+MATCH(B136,{"Lunes","Martes","Miércoles","Jueves","Viernes","Sábado","Domingo"},0)-1)</f>
        <v/>
      </c>
    </row>
    <row r="137" customFormat="false" ht="15" hidden="false" customHeight="false" outlineLevel="0" collapsed="false">
      <c r="G137" s="23" t="str">
        <f aca="false">IF(OR(D137="",E137=""),"",E137*IFERROR(VLOOKUP(F137,Perfil!$B$19:$C$24,2,0),1))</f>
        <v/>
      </c>
      <c r="H137" s="23" t="str">
        <f aca="false">IF(G137="","",G137/100*INDEX(Alimentos!$E$5:$E$40,MATCH($D137,Alimentos!$B$5:$B$40,0)))</f>
        <v/>
      </c>
      <c r="I137" s="23" t="str">
        <f aca="false">IF(G137="","",G137/100*INDEX(Alimentos!$F$5:$F$40,MATCH($D137,Alimentos!$B$5:$B$40,0)))</f>
        <v/>
      </c>
      <c r="J137" s="23" t="str">
        <f aca="false">IF(G137="","",G137/100*INDEX(Alimentos!$G$5:$G$40,MATCH($D137,Alimentos!$B$5:$B$40,0)))</f>
        <v/>
      </c>
      <c r="K137" s="23" t="str">
        <f aca="false">IF(G137="","",G137/100*INDEX(Alimentos!$H$5:$H$40,MATCH($D137,Alimentos!$B$5:$B$40,0)))</f>
        <v/>
      </c>
      <c r="L137" s="24" t="str">
        <f aca="false">IF(OR(A137="",B137=""),"",Perfil!$C$13+(A137-1)*7+MATCH(B137,{"Lunes","Martes","Miércoles","Jueves","Viernes","Sábado","Domingo"},0)-1)</f>
        <v/>
      </c>
    </row>
    <row r="138" customFormat="false" ht="15" hidden="false" customHeight="false" outlineLevel="0" collapsed="false">
      <c r="G138" s="23" t="str">
        <f aca="false">IF(OR(D138="",E138=""),"",E138*IFERROR(VLOOKUP(F138,Perfil!$B$19:$C$24,2,0),1))</f>
        <v/>
      </c>
      <c r="H138" s="23" t="str">
        <f aca="false">IF(G138="","",G138/100*INDEX(Alimentos!$E$5:$E$40,MATCH($D138,Alimentos!$B$5:$B$40,0)))</f>
        <v/>
      </c>
      <c r="I138" s="23" t="str">
        <f aca="false">IF(G138="","",G138/100*INDEX(Alimentos!$F$5:$F$40,MATCH($D138,Alimentos!$B$5:$B$40,0)))</f>
        <v/>
      </c>
      <c r="J138" s="23" t="str">
        <f aca="false">IF(G138="","",G138/100*INDEX(Alimentos!$G$5:$G$40,MATCH($D138,Alimentos!$B$5:$B$40,0)))</f>
        <v/>
      </c>
      <c r="K138" s="23" t="str">
        <f aca="false">IF(G138="","",G138/100*INDEX(Alimentos!$H$5:$H$40,MATCH($D138,Alimentos!$B$5:$B$40,0)))</f>
        <v/>
      </c>
      <c r="L138" s="24" t="str">
        <f aca="false">IF(OR(A138="",B138=""),"",Perfil!$C$13+(A138-1)*7+MATCH(B138,{"Lunes","Martes","Miércoles","Jueves","Viernes","Sábado","Domingo"},0)-1)</f>
        <v/>
      </c>
    </row>
    <row r="139" customFormat="false" ht="15" hidden="false" customHeight="false" outlineLevel="0" collapsed="false">
      <c r="G139" s="23" t="str">
        <f aca="false">IF(OR(D139="",E139=""),"",E139*IFERROR(VLOOKUP(F139,Perfil!$B$19:$C$24,2,0),1))</f>
        <v/>
      </c>
      <c r="H139" s="23" t="str">
        <f aca="false">IF(G139="","",G139/100*INDEX(Alimentos!$E$5:$E$40,MATCH($D139,Alimentos!$B$5:$B$40,0)))</f>
        <v/>
      </c>
      <c r="I139" s="23" t="str">
        <f aca="false">IF(G139="","",G139/100*INDEX(Alimentos!$F$5:$F$40,MATCH($D139,Alimentos!$B$5:$B$40,0)))</f>
        <v/>
      </c>
      <c r="J139" s="23" t="str">
        <f aca="false">IF(G139="","",G139/100*INDEX(Alimentos!$G$5:$G$40,MATCH($D139,Alimentos!$B$5:$B$40,0)))</f>
        <v/>
      </c>
      <c r="K139" s="23" t="str">
        <f aca="false">IF(G139="","",G139/100*INDEX(Alimentos!$H$5:$H$40,MATCH($D139,Alimentos!$B$5:$B$40,0)))</f>
        <v/>
      </c>
      <c r="L139" s="24" t="str">
        <f aca="false">IF(OR(A139="",B139=""),"",Perfil!$C$13+(A139-1)*7+MATCH(B139,{"Lunes","Martes","Miércoles","Jueves","Viernes","Sábado","Domingo"},0)-1)</f>
        <v/>
      </c>
    </row>
    <row r="140" customFormat="false" ht="15" hidden="false" customHeight="false" outlineLevel="0" collapsed="false">
      <c r="G140" s="23" t="str">
        <f aca="false">IF(OR(D140="",E140=""),"",E140*IFERROR(VLOOKUP(F140,Perfil!$B$19:$C$24,2,0),1))</f>
        <v/>
      </c>
      <c r="H140" s="23" t="str">
        <f aca="false">IF(G140="","",G140/100*INDEX(Alimentos!$E$5:$E$40,MATCH($D140,Alimentos!$B$5:$B$40,0)))</f>
        <v/>
      </c>
      <c r="I140" s="23" t="str">
        <f aca="false">IF(G140="","",G140/100*INDEX(Alimentos!$F$5:$F$40,MATCH($D140,Alimentos!$B$5:$B$40,0)))</f>
        <v/>
      </c>
      <c r="J140" s="23" t="str">
        <f aca="false">IF(G140="","",G140/100*INDEX(Alimentos!$G$5:$G$40,MATCH($D140,Alimentos!$B$5:$B$40,0)))</f>
        <v/>
      </c>
      <c r="K140" s="23" t="str">
        <f aca="false">IF(G140="","",G140/100*INDEX(Alimentos!$H$5:$H$40,MATCH($D140,Alimentos!$B$5:$B$40,0)))</f>
        <v/>
      </c>
      <c r="L140" s="24" t="str">
        <f aca="false">IF(OR(A140="",B140=""),"",Perfil!$C$13+(A140-1)*7+MATCH(B140,{"Lunes","Martes","Miércoles","Jueves","Viernes","Sábado","Domingo"},0)-1)</f>
        <v/>
      </c>
    </row>
    <row r="141" customFormat="false" ht="15" hidden="false" customHeight="false" outlineLevel="0" collapsed="false">
      <c r="G141" s="23" t="str">
        <f aca="false">IF(OR(D141="",E141=""),"",E141*IFERROR(VLOOKUP(F141,Perfil!$B$19:$C$24,2,0),1))</f>
        <v/>
      </c>
      <c r="H141" s="23" t="str">
        <f aca="false">IF(G141="","",G141/100*INDEX(Alimentos!$E$5:$E$40,MATCH($D141,Alimentos!$B$5:$B$40,0)))</f>
        <v/>
      </c>
      <c r="I141" s="23" t="str">
        <f aca="false">IF(G141="","",G141/100*INDEX(Alimentos!$F$5:$F$40,MATCH($D141,Alimentos!$B$5:$B$40,0)))</f>
        <v/>
      </c>
      <c r="J141" s="23" t="str">
        <f aca="false">IF(G141="","",G141/100*INDEX(Alimentos!$G$5:$G$40,MATCH($D141,Alimentos!$B$5:$B$40,0)))</f>
        <v/>
      </c>
      <c r="K141" s="23" t="str">
        <f aca="false">IF(G141="","",G141/100*INDEX(Alimentos!$H$5:$H$40,MATCH($D141,Alimentos!$B$5:$B$40,0)))</f>
        <v/>
      </c>
      <c r="L141" s="24" t="str">
        <f aca="false">IF(OR(A141="",B141=""),"",Perfil!$C$13+(A141-1)*7+MATCH(B141,{"Lunes","Martes","Miércoles","Jueves","Viernes","Sábado","Domingo"},0)-1)</f>
        <v/>
      </c>
    </row>
    <row r="142" customFormat="false" ht="15" hidden="false" customHeight="false" outlineLevel="0" collapsed="false">
      <c r="G142" s="23" t="str">
        <f aca="false">IF(OR(D142="",E142=""),"",E142*IFERROR(VLOOKUP(F142,Perfil!$B$19:$C$24,2,0),1))</f>
        <v/>
      </c>
      <c r="H142" s="23" t="str">
        <f aca="false">IF(G142="","",G142/100*INDEX(Alimentos!$E$5:$E$40,MATCH($D142,Alimentos!$B$5:$B$40,0)))</f>
        <v/>
      </c>
      <c r="I142" s="23" t="str">
        <f aca="false">IF(G142="","",G142/100*INDEX(Alimentos!$F$5:$F$40,MATCH($D142,Alimentos!$B$5:$B$40,0)))</f>
        <v/>
      </c>
      <c r="J142" s="23" t="str">
        <f aca="false">IF(G142="","",G142/100*INDEX(Alimentos!$G$5:$G$40,MATCH($D142,Alimentos!$B$5:$B$40,0)))</f>
        <v/>
      </c>
      <c r="K142" s="23" t="str">
        <f aca="false">IF(G142="","",G142/100*INDEX(Alimentos!$H$5:$H$40,MATCH($D142,Alimentos!$B$5:$B$40,0)))</f>
        <v/>
      </c>
      <c r="L142" s="24" t="str">
        <f aca="false">IF(OR(A142="",B142=""),"",Perfil!$C$13+(A142-1)*7+MATCH(B142,{"Lunes","Martes","Miércoles","Jueves","Viernes","Sábado","Domingo"},0)-1)</f>
        <v/>
      </c>
    </row>
    <row r="143" customFormat="false" ht="15" hidden="false" customHeight="false" outlineLevel="0" collapsed="false">
      <c r="G143" s="23" t="str">
        <f aca="false">IF(OR(D143="",E143=""),"",E143*IFERROR(VLOOKUP(F143,Perfil!$B$19:$C$24,2,0),1))</f>
        <v/>
      </c>
      <c r="H143" s="23" t="str">
        <f aca="false">IF(G143="","",G143/100*INDEX(Alimentos!$E$5:$E$40,MATCH($D143,Alimentos!$B$5:$B$40,0)))</f>
        <v/>
      </c>
      <c r="I143" s="23" t="str">
        <f aca="false">IF(G143="","",G143/100*INDEX(Alimentos!$F$5:$F$40,MATCH($D143,Alimentos!$B$5:$B$40,0)))</f>
        <v/>
      </c>
      <c r="J143" s="23" t="str">
        <f aca="false">IF(G143="","",G143/100*INDEX(Alimentos!$G$5:$G$40,MATCH($D143,Alimentos!$B$5:$B$40,0)))</f>
        <v/>
      </c>
      <c r="K143" s="23" t="str">
        <f aca="false">IF(G143="","",G143/100*INDEX(Alimentos!$H$5:$H$40,MATCH($D143,Alimentos!$B$5:$B$40,0)))</f>
        <v/>
      </c>
      <c r="L143" s="24" t="str">
        <f aca="false">IF(OR(A143="",B143=""),"",Perfil!$C$13+(A143-1)*7+MATCH(B143,{"Lunes","Martes","Miércoles","Jueves","Viernes","Sábado","Domingo"},0)-1)</f>
        <v/>
      </c>
    </row>
    <row r="144" customFormat="false" ht="15" hidden="false" customHeight="false" outlineLevel="0" collapsed="false">
      <c r="G144" s="23" t="str">
        <f aca="false">IF(OR(D144="",E144=""),"",E144*IFERROR(VLOOKUP(F144,Perfil!$B$19:$C$24,2,0),1))</f>
        <v/>
      </c>
      <c r="H144" s="23" t="str">
        <f aca="false">IF(G144="","",G144/100*INDEX(Alimentos!$E$5:$E$40,MATCH($D144,Alimentos!$B$5:$B$40,0)))</f>
        <v/>
      </c>
      <c r="I144" s="23" t="str">
        <f aca="false">IF(G144="","",G144/100*INDEX(Alimentos!$F$5:$F$40,MATCH($D144,Alimentos!$B$5:$B$40,0)))</f>
        <v/>
      </c>
      <c r="J144" s="23" t="str">
        <f aca="false">IF(G144="","",G144/100*INDEX(Alimentos!$G$5:$G$40,MATCH($D144,Alimentos!$B$5:$B$40,0)))</f>
        <v/>
      </c>
      <c r="K144" s="23" t="str">
        <f aca="false">IF(G144="","",G144/100*INDEX(Alimentos!$H$5:$H$40,MATCH($D144,Alimentos!$B$5:$B$40,0)))</f>
        <v/>
      </c>
      <c r="L144" s="24" t="str">
        <f aca="false">IF(OR(A144="",B144=""),"",Perfil!$C$13+(A144-1)*7+MATCH(B144,{"Lunes","Martes","Miércoles","Jueves","Viernes","Sábado","Domingo"},0)-1)</f>
        <v/>
      </c>
    </row>
    <row r="145" customFormat="false" ht="15" hidden="false" customHeight="false" outlineLevel="0" collapsed="false">
      <c r="G145" s="23" t="str">
        <f aca="false">IF(OR(D145="",E145=""),"",E145*IFERROR(VLOOKUP(F145,Perfil!$B$19:$C$24,2,0),1))</f>
        <v/>
      </c>
      <c r="H145" s="23" t="str">
        <f aca="false">IF(G145="","",G145/100*INDEX(Alimentos!$E$5:$E$40,MATCH($D145,Alimentos!$B$5:$B$40,0)))</f>
        <v/>
      </c>
      <c r="I145" s="23" t="str">
        <f aca="false">IF(G145="","",G145/100*INDEX(Alimentos!$F$5:$F$40,MATCH($D145,Alimentos!$B$5:$B$40,0)))</f>
        <v/>
      </c>
      <c r="J145" s="23" t="str">
        <f aca="false">IF(G145="","",G145/100*INDEX(Alimentos!$G$5:$G$40,MATCH($D145,Alimentos!$B$5:$B$40,0)))</f>
        <v/>
      </c>
      <c r="K145" s="23" t="str">
        <f aca="false">IF(G145="","",G145/100*INDEX(Alimentos!$H$5:$H$40,MATCH($D145,Alimentos!$B$5:$B$40,0)))</f>
        <v/>
      </c>
      <c r="L145" s="24" t="str">
        <f aca="false">IF(OR(A145="",B145=""),"",Perfil!$C$13+(A145-1)*7+MATCH(B145,{"Lunes","Martes","Miércoles","Jueves","Viernes","Sábado","Domingo"},0)-1)</f>
        <v/>
      </c>
    </row>
    <row r="146" customFormat="false" ht="15" hidden="false" customHeight="false" outlineLevel="0" collapsed="false">
      <c r="G146" s="23" t="str">
        <f aca="false">IF(OR(D146="",E146=""),"",E146*IFERROR(VLOOKUP(F146,Perfil!$B$19:$C$24,2,0),1))</f>
        <v/>
      </c>
      <c r="H146" s="23" t="str">
        <f aca="false">IF(G146="","",G146/100*INDEX(Alimentos!$E$5:$E$40,MATCH($D146,Alimentos!$B$5:$B$40,0)))</f>
        <v/>
      </c>
      <c r="I146" s="23" t="str">
        <f aca="false">IF(G146="","",G146/100*INDEX(Alimentos!$F$5:$F$40,MATCH($D146,Alimentos!$B$5:$B$40,0)))</f>
        <v/>
      </c>
      <c r="J146" s="23" t="str">
        <f aca="false">IF(G146="","",G146/100*INDEX(Alimentos!$G$5:$G$40,MATCH($D146,Alimentos!$B$5:$B$40,0)))</f>
        <v/>
      </c>
      <c r="K146" s="23" t="str">
        <f aca="false">IF(G146="","",G146/100*INDEX(Alimentos!$H$5:$H$40,MATCH($D146,Alimentos!$B$5:$B$40,0)))</f>
        <v/>
      </c>
      <c r="L146" s="24" t="str">
        <f aca="false">IF(OR(A146="",B146=""),"",Perfil!$C$13+(A146-1)*7+MATCH(B146,{"Lunes","Martes","Miércoles","Jueves","Viernes","Sábado","Domingo"},0)-1)</f>
        <v/>
      </c>
    </row>
    <row r="147" customFormat="false" ht="15" hidden="false" customHeight="false" outlineLevel="0" collapsed="false">
      <c r="G147" s="23" t="str">
        <f aca="false">IF(OR(D147="",E147=""),"",E147*IFERROR(VLOOKUP(F147,Perfil!$B$19:$C$24,2,0),1))</f>
        <v/>
      </c>
      <c r="H147" s="23" t="str">
        <f aca="false">IF(G147="","",G147/100*INDEX(Alimentos!$E$5:$E$40,MATCH($D147,Alimentos!$B$5:$B$40,0)))</f>
        <v/>
      </c>
      <c r="I147" s="23" t="str">
        <f aca="false">IF(G147="","",G147/100*INDEX(Alimentos!$F$5:$F$40,MATCH($D147,Alimentos!$B$5:$B$40,0)))</f>
        <v/>
      </c>
      <c r="J147" s="23" t="str">
        <f aca="false">IF(G147="","",G147/100*INDEX(Alimentos!$G$5:$G$40,MATCH($D147,Alimentos!$B$5:$B$40,0)))</f>
        <v/>
      </c>
      <c r="K147" s="23" t="str">
        <f aca="false">IF(G147="","",G147/100*INDEX(Alimentos!$H$5:$H$40,MATCH($D147,Alimentos!$B$5:$B$40,0)))</f>
        <v/>
      </c>
      <c r="L147" s="24" t="str">
        <f aca="false">IF(OR(A147="",B147=""),"",Perfil!$C$13+(A147-1)*7+MATCH(B147,{"Lunes","Martes","Miércoles","Jueves","Viernes","Sábado","Domingo"},0)-1)</f>
        <v/>
      </c>
    </row>
    <row r="148" customFormat="false" ht="15" hidden="false" customHeight="false" outlineLevel="0" collapsed="false">
      <c r="G148" s="23" t="str">
        <f aca="false">IF(OR(D148="",E148=""),"",E148*IFERROR(VLOOKUP(F148,Perfil!$B$19:$C$24,2,0),1))</f>
        <v/>
      </c>
      <c r="H148" s="23" t="str">
        <f aca="false">IF(G148="","",G148/100*INDEX(Alimentos!$E$5:$E$40,MATCH($D148,Alimentos!$B$5:$B$40,0)))</f>
        <v/>
      </c>
      <c r="I148" s="23" t="str">
        <f aca="false">IF(G148="","",G148/100*INDEX(Alimentos!$F$5:$F$40,MATCH($D148,Alimentos!$B$5:$B$40,0)))</f>
        <v/>
      </c>
      <c r="J148" s="23" t="str">
        <f aca="false">IF(G148="","",G148/100*INDEX(Alimentos!$G$5:$G$40,MATCH($D148,Alimentos!$B$5:$B$40,0)))</f>
        <v/>
      </c>
      <c r="K148" s="23" t="str">
        <f aca="false">IF(G148="","",G148/100*INDEX(Alimentos!$H$5:$H$40,MATCH($D148,Alimentos!$B$5:$B$40,0)))</f>
        <v/>
      </c>
      <c r="L148" s="24" t="str">
        <f aca="false">IF(OR(A148="",B148=""),"",Perfil!$C$13+(A148-1)*7+MATCH(B148,{"Lunes","Martes","Miércoles","Jueves","Viernes","Sábado","Domingo"},0)-1)</f>
        <v/>
      </c>
    </row>
    <row r="149" customFormat="false" ht="15" hidden="false" customHeight="false" outlineLevel="0" collapsed="false">
      <c r="G149" s="23" t="str">
        <f aca="false">IF(OR(D149="",E149=""),"",E149*IFERROR(VLOOKUP(F149,Perfil!$B$19:$C$24,2,0),1))</f>
        <v/>
      </c>
      <c r="H149" s="23" t="str">
        <f aca="false">IF(G149="","",G149/100*INDEX(Alimentos!$E$5:$E$40,MATCH($D149,Alimentos!$B$5:$B$40,0)))</f>
        <v/>
      </c>
      <c r="I149" s="23" t="str">
        <f aca="false">IF(G149="","",G149/100*INDEX(Alimentos!$F$5:$F$40,MATCH($D149,Alimentos!$B$5:$B$40,0)))</f>
        <v/>
      </c>
      <c r="J149" s="23" t="str">
        <f aca="false">IF(G149="","",G149/100*INDEX(Alimentos!$G$5:$G$40,MATCH($D149,Alimentos!$B$5:$B$40,0)))</f>
        <v/>
      </c>
      <c r="K149" s="23" t="str">
        <f aca="false">IF(G149="","",G149/100*INDEX(Alimentos!$H$5:$H$40,MATCH($D149,Alimentos!$B$5:$B$40,0)))</f>
        <v/>
      </c>
      <c r="L149" s="24" t="str">
        <f aca="false">IF(OR(A149="",B149=""),"",Perfil!$C$13+(A149-1)*7+MATCH(B149,{"Lunes","Martes","Miércoles","Jueves","Viernes","Sábado","Domingo"},0)-1)</f>
        <v/>
      </c>
    </row>
    <row r="150" customFormat="false" ht="15" hidden="false" customHeight="false" outlineLevel="0" collapsed="false">
      <c r="G150" s="23" t="str">
        <f aca="false">IF(OR(D150="",E150=""),"",E150*IFERROR(VLOOKUP(F150,Perfil!$B$19:$C$24,2,0),1))</f>
        <v/>
      </c>
      <c r="H150" s="23" t="str">
        <f aca="false">IF(G150="","",G150/100*INDEX(Alimentos!$E$5:$E$40,MATCH($D150,Alimentos!$B$5:$B$40,0)))</f>
        <v/>
      </c>
      <c r="I150" s="23" t="str">
        <f aca="false">IF(G150="","",G150/100*INDEX(Alimentos!$F$5:$F$40,MATCH($D150,Alimentos!$B$5:$B$40,0)))</f>
        <v/>
      </c>
      <c r="J150" s="23" t="str">
        <f aca="false">IF(G150="","",G150/100*INDEX(Alimentos!$G$5:$G$40,MATCH($D150,Alimentos!$B$5:$B$40,0)))</f>
        <v/>
      </c>
      <c r="K150" s="23" t="str">
        <f aca="false">IF(G150="","",G150/100*INDEX(Alimentos!$H$5:$H$40,MATCH($D150,Alimentos!$B$5:$B$40,0)))</f>
        <v/>
      </c>
      <c r="L150" s="24" t="str">
        <f aca="false">IF(OR(A150="",B150=""),"",Perfil!$C$13+(A150-1)*7+MATCH(B150,{"Lunes","Martes","Miércoles","Jueves","Viernes","Sábado","Domingo"},0)-1)</f>
        <v/>
      </c>
    </row>
    <row r="151" customFormat="false" ht="15" hidden="false" customHeight="false" outlineLevel="0" collapsed="false">
      <c r="G151" s="23" t="str">
        <f aca="false">IF(OR(D151="",E151=""),"",E151*IFERROR(VLOOKUP(F151,Perfil!$B$19:$C$24,2,0),1))</f>
        <v/>
      </c>
      <c r="H151" s="23" t="str">
        <f aca="false">IF(G151="","",G151/100*INDEX(Alimentos!$E$5:$E$40,MATCH($D151,Alimentos!$B$5:$B$40,0)))</f>
        <v/>
      </c>
      <c r="I151" s="23" t="str">
        <f aca="false">IF(G151="","",G151/100*INDEX(Alimentos!$F$5:$F$40,MATCH($D151,Alimentos!$B$5:$B$40,0)))</f>
        <v/>
      </c>
      <c r="J151" s="23" t="str">
        <f aca="false">IF(G151="","",G151/100*INDEX(Alimentos!$G$5:$G$40,MATCH($D151,Alimentos!$B$5:$B$40,0)))</f>
        <v/>
      </c>
      <c r="K151" s="23" t="str">
        <f aca="false">IF(G151="","",G151/100*INDEX(Alimentos!$H$5:$H$40,MATCH($D151,Alimentos!$B$5:$B$40,0)))</f>
        <v/>
      </c>
      <c r="L151" s="24" t="str">
        <f aca="false">IF(OR(A151="",B151=""),"",Perfil!$C$13+(A151-1)*7+MATCH(B151,{"Lunes","Martes","Miércoles","Jueves","Viernes","Sábado","Domingo"},0)-1)</f>
        <v/>
      </c>
    </row>
    <row r="152" customFormat="false" ht="15" hidden="false" customHeight="false" outlineLevel="0" collapsed="false">
      <c r="G152" s="23" t="str">
        <f aca="false">IF(OR(D152="",E152=""),"",E152*IFERROR(VLOOKUP(F152,Perfil!$B$19:$C$24,2,0),1))</f>
        <v/>
      </c>
      <c r="H152" s="23" t="str">
        <f aca="false">IF(G152="","",G152/100*INDEX(Alimentos!$E$5:$E$40,MATCH($D152,Alimentos!$B$5:$B$40,0)))</f>
        <v/>
      </c>
      <c r="I152" s="23" t="str">
        <f aca="false">IF(G152="","",G152/100*INDEX(Alimentos!$F$5:$F$40,MATCH($D152,Alimentos!$B$5:$B$40,0)))</f>
        <v/>
      </c>
      <c r="J152" s="23" t="str">
        <f aca="false">IF(G152="","",G152/100*INDEX(Alimentos!$G$5:$G$40,MATCH($D152,Alimentos!$B$5:$B$40,0)))</f>
        <v/>
      </c>
      <c r="K152" s="23" t="str">
        <f aca="false">IF(G152="","",G152/100*INDEX(Alimentos!$H$5:$H$40,MATCH($D152,Alimentos!$B$5:$B$40,0)))</f>
        <v/>
      </c>
      <c r="L152" s="24" t="str">
        <f aca="false">IF(OR(A152="",B152=""),"",Perfil!$C$13+(A152-1)*7+MATCH(B152,{"Lunes","Martes","Miércoles","Jueves","Viernes","Sábado","Domingo"},0)-1)</f>
        <v/>
      </c>
    </row>
    <row r="153" customFormat="false" ht="15" hidden="false" customHeight="false" outlineLevel="0" collapsed="false">
      <c r="G153" s="23" t="str">
        <f aca="false">IF(OR(D153="",E153=""),"",E153*IFERROR(VLOOKUP(F153,Perfil!$B$19:$C$24,2,0),1))</f>
        <v/>
      </c>
      <c r="H153" s="23" t="str">
        <f aca="false">IF(G153="","",G153/100*INDEX(Alimentos!$E$5:$E$40,MATCH($D153,Alimentos!$B$5:$B$40,0)))</f>
        <v/>
      </c>
      <c r="I153" s="23" t="str">
        <f aca="false">IF(G153="","",G153/100*INDEX(Alimentos!$F$5:$F$40,MATCH($D153,Alimentos!$B$5:$B$40,0)))</f>
        <v/>
      </c>
      <c r="J153" s="23" t="str">
        <f aca="false">IF(G153="","",G153/100*INDEX(Alimentos!$G$5:$G$40,MATCH($D153,Alimentos!$B$5:$B$40,0)))</f>
        <v/>
      </c>
      <c r="K153" s="23" t="str">
        <f aca="false">IF(G153="","",G153/100*INDEX(Alimentos!$H$5:$H$40,MATCH($D153,Alimentos!$B$5:$B$40,0)))</f>
        <v/>
      </c>
      <c r="L153" s="24" t="str">
        <f aca="false">IF(OR(A153="",B153=""),"",Perfil!$C$13+(A153-1)*7+MATCH(B153,{"Lunes","Martes","Miércoles","Jueves","Viernes","Sábado","Domingo"},0)-1)</f>
        <v/>
      </c>
    </row>
    <row r="154" customFormat="false" ht="15" hidden="false" customHeight="false" outlineLevel="0" collapsed="false">
      <c r="G154" s="23" t="str">
        <f aca="false">IF(OR(D154="",E154=""),"",E154*IFERROR(VLOOKUP(F154,Perfil!$B$19:$C$24,2,0),1))</f>
        <v/>
      </c>
      <c r="H154" s="23" t="str">
        <f aca="false">IF(G154="","",G154/100*INDEX(Alimentos!$E$5:$E$40,MATCH($D154,Alimentos!$B$5:$B$40,0)))</f>
        <v/>
      </c>
      <c r="I154" s="23" t="str">
        <f aca="false">IF(G154="","",G154/100*INDEX(Alimentos!$F$5:$F$40,MATCH($D154,Alimentos!$B$5:$B$40,0)))</f>
        <v/>
      </c>
      <c r="J154" s="23" t="str">
        <f aca="false">IF(G154="","",G154/100*INDEX(Alimentos!$G$5:$G$40,MATCH($D154,Alimentos!$B$5:$B$40,0)))</f>
        <v/>
      </c>
      <c r="K154" s="23" t="str">
        <f aca="false">IF(G154="","",G154/100*INDEX(Alimentos!$H$5:$H$40,MATCH($D154,Alimentos!$B$5:$B$40,0)))</f>
        <v/>
      </c>
      <c r="L154" s="24" t="str">
        <f aca="false">IF(OR(A154="",B154=""),"",Perfil!$C$13+(A154-1)*7+MATCH(B154,{"Lunes","Martes","Miércoles","Jueves","Viernes","Sábado","Domingo"},0)-1)</f>
        <v/>
      </c>
    </row>
    <row r="155" customFormat="false" ht="15" hidden="false" customHeight="false" outlineLevel="0" collapsed="false">
      <c r="G155" s="23" t="str">
        <f aca="false">IF(OR(D155="",E155=""),"",E155*IFERROR(VLOOKUP(F155,Perfil!$B$19:$C$24,2,0),1))</f>
        <v/>
      </c>
      <c r="H155" s="23" t="str">
        <f aca="false">IF(G155="","",G155/100*INDEX(Alimentos!$E$5:$E$40,MATCH($D155,Alimentos!$B$5:$B$40,0)))</f>
        <v/>
      </c>
      <c r="I155" s="23" t="str">
        <f aca="false">IF(G155="","",G155/100*INDEX(Alimentos!$F$5:$F$40,MATCH($D155,Alimentos!$B$5:$B$40,0)))</f>
        <v/>
      </c>
      <c r="J155" s="23" t="str">
        <f aca="false">IF(G155="","",G155/100*INDEX(Alimentos!$G$5:$G$40,MATCH($D155,Alimentos!$B$5:$B$40,0)))</f>
        <v/>
      </c>
      <c r="K155" s="23" t="str">
        <f aca="false">IF(G155="","",G155/100*INDEX(Alimentos!$H$5:$H$40,MATCH($D155,Alimentos!$B$5:$B$40,0)))</f>
        <v/>
      </c>
      <c r="L155" s="24" t="str">
        <f aca="false">IF(OR(A155="",B155=""),"",Perfil!$C$13+(A155-1)*7+MATCH(B155,{"Lunes","Martes","Miércoles","Jueves","Viernes","Sábado","Domingo"},0)-1)</f>
        <v/>
      </c>
    </row>
    <row r="156" customFormat="false" ht="15" hidden="false" customHeight="false" outlineLevel="0" collapsed="false">
      <c r="G156" s="23" t="str">
        <f aca="false">IF(OR(D156="",E156=""),"",E156*IFERROR(VLOOKUP(F156,Perfil!$B$19:$C$24,2,0),1))</f>
        <v/>
      </c>
      <c r="H156" s="23" t="str">
        <f aca="false">IF(G156="","",G156/100*INDEX(Alimentos!$E$5:$E$40,MATCH($D156,Alimentos!$B$5:$B$40,0)))</f>
        <v/>
      </c>
      <c r="I156" s="23" t="str">
        <f aca="false">IF(G156="","",G156/100*INDEX(Alimentos!$F$5:$F$40,MATCH($D156,Alimentos!$B$5:$B$40,0)))</f>
        <v/>
      </c>
      <c r="J156" s="23" t="str">
        <f aca="false">IF(G156="","",G156/100*INDEX(Alimentos!$G$5:$G$40,MATCH($D156,Alimentos!$B$5:$B$40,0)))</f>
        <v/>
      </c>
      <c r="K156" s="23" t="str">
        <f aca="false">IF(G156="","",G156/100*INDEX(Alimentos!$H$5:$H$40,MATCH($D156,Alimentos!$B$5:$B$40,0)))</f>
        <v/>
      </c>
      <c r="L156" s="24" t="str">
        <f aca="false">IF(OR(A156="",B156=""),"",Perfil!$C$13+(A156-1)*7+MATCH(B156,{"Lunes","Martes","Miércoles","Jueves","Viernes","Sábado","Domingo"},0)-1)</f>
        <v/>
      </c>
    </row>
    <row r="157" customFormat="false" ht="15" hidden="false" customHeight="false" outlineLevel="0" collapsed="false">
      <c r="G157" s="23" t="str">
        <f aca="false">IF(OR(D157="",E157=""),"",E157*IFERROR(VLOOKUP(F157,Perfil!$B$19:$C$24,2,0),1))</f>
        <v/>
      </c>
      <c r="H157" s="23" t="str">
        <f aca="false">IF(G157="","",G157/100*INDEX(Alimentos!$E$5:$E$40,MATCH($D157,Alimentos!$B$5:$B$40,0)))</f>
        <v/>
      </c>
      <c r="I157" s="23" t="str">
        <f aca="false">IF(G157="","",G157/100*INDEX(Alimentos!$F$5:$F$40,MATCH($D157,Alimentos!$B$5:$B$40,0)))</f>
        <v/>
      </c>
      <c r="J157" s="23" t="str">
        <f aca="false">IF(G157="","",G157/100*INDEX(Alimentos!$G$5:$G$40,MATCH($D157,Alimentos!$B$5:$B$40,0)))</f>
        <v/>
      </c>
      <c r="K157" s="23" t="str">
        <f aca="false">IF(G157="","",G157/100*INDEX(Alimentos!$H$5:$H$40,MATCH($D157,Alimentos!$B$5:$B$40,0)))</f>
        <v/>
      </c>
      <c r="L157" s="24" t="str">
        <f aca="false">IF(OR(A157="",B157=""),"",Perfil!$C$13+(A157-1)*7+MATCH(B157,{"Lunes","Martes","Miércoles","Jueves","Viernes","Sábado","Domingo"},0)-1)</f>
        <v/>
      </c>
    </row>
    <row r="158" customFormat="false" ht="15" hidden="false" customHeight="false" outlineLevel="0" collapsed="false">
      <c r="G158" s="23" t="str">
        <f aca="false">IF(OR(D158="",E158=""),"",E158*IFERROR(VLOOKUP(F158,Perfil!$B$19:$C$24,2,0),1))</f>
        <v/>
      </c>
      <c r="H158" s="23" t="str">
        <f aca="false">IF(G158="","",G158/100*INDEX(Alimentos!$E$5:$E$40,MATCH($D158,Alimentos!$B$5:$B$40,0)))</f>
        <v/>
      </c>
      <c r="I158" s="23" t="str">
        <f aca="false">IF(G158="","",G158/100*INDEX(Alimentos!$F$5:$F$40,MATCH($D158,Alimentos!$B$5:$B$40,0)))</f>
        <v/>
      </c>
      <c r="J158" s="23" t="str">
        <f aca="false">IF(G158="","",G158/100*INDEX(Alimentos!$G$5:$G$40,MATCH($D158,Alimentos!$B$5:$B$40,0)))</f>
        <v/>
      </c>
      <c r="K158" s="23" t="str">
        <f aca="false">IF(G158="","",G158/100*INDEX(Alimentos!$H$5:$H$40,MATCH($D158,Alimentos!$B$5:$B$40,0)))</f>
        <v/>
      </c>
      <c r="L158" s="24" t="str">
        <f aca="false">IF(OR(A158="",B158=""),"",Perfil!$C$13+(A158-1)*7+MATCH(B158,{"Lunes","Martes","Miércoles","Jueves","Viernes","Sábado","Domingo"},0)-1)</f>
        <v/>
      </c>
    </row>
    <row r="159" customFormat="false" ht="15" hidden="false" customHeight="false" outlineLevel="0" collapsed="false">
      <c r="G159" s="23" t="str">
        <f aca="false">IF(OR(D159="",E159=""),"",E159*IFERROR(VLOOKUP(F159,Perfil!$B$19:$C$24,2,0),1))</f>
        <v/>
      </c>
      <c r="H159" s="23" t="str">
        <f aca="false">IF(G159="","",G159/100*INDEX(Alimentos!$E$5:$E$40,MATCH($D159,Alimentos!$B$5:$B$40,0)))</f>
        <v/>
      </c>
      <c r="I159" s="23" t="str">
        <f aca="false">IF(G159="","",G159/100*INDEX(Alimentos!$F$5:$F$40,MATCH($D159,Alimentos!$B$5:$B$40,0)))</f>
        <v/>
      </c>
      <c r="J159" s="23" t="str">
        <f aca="false">IF(G159="","",G159/100*INDEX(Alimentos!$G$5:$G$40,MATCH($D159,Alimentos!$B$5:$B$40,0)))</f>
        <v/>
      </c>
      <c r="K159" s="23" t="str">
        <f aca="false">IF(G159="","",G159/100*INDEX(Alimentos!$H$5:$H$40,MATCH($D159,Alimentos!$B$5:$B$40,0)))</f>
        <v/>
      </c>
      <c r="L159" s="24" t="str">
        <f aca="false">IF(OR(A159="",B159=""),"",Perfil!$C$13+(A159-1)*7+MATCH(B159,{"Lunes","Martes","Miércoles","Jueves","Viernes","Sábado","Domingo"},0)-1)</f>
        <v/>
      </c>
    </row>
    <row r="160" customFormat="false" ht="15" hidden="false" customHeight="false" outlineLevel="0" collapsed="false">
      <c r="G160" s="23" t="str">
        <f aca="false">IF(OR(D160="",E160=""),"",E160*IFERROR(VLOOKUP(F160,Perfil!$B$19:$C$24,2,0),1))</f>
        <v/>
      </c>
      <c r="H160" s="23" t="str">
        <f aca="false">IF(G160="","",G160/100*INDEX(Alimentos!$E$5:$E$40,MATCH($D160,Alimentos!$B$5:$B$40,0)))</f>
        <v/>
      </c>
      <c r="I160" s="23" t="str">
        <f aca="false">IF(G160="","",G160/100*INDEX(Alimentos!$F$5:$F$40,MATCH($D160,Alimentos!$B$5:$B$40,0)))</f>
        <v/>
      </c>
      <c r="J160" s="23" t="str">
        <f aca="false">IF(G160="","",G160/100*INDEX(Alimentos!$G$5:$G$40,MATCH($D160,Alimentos!$B$5:$B$40,0)))</f>
        <v/>
      </c>
      <c r="K160" s="23" t="str">
        <f aca="false">IF(G160="","",G160/100*INDEX(Alimentos!$H$5:$H$40,MATCH($D160,Alimentos!$B$5:$B$40,0)))</f>
        <v/>
      </c>
      <c r="L160" s="24" t="str">
        <f aca="false">IF(OR(A160="",B160=""),"",Perfil!$C$13+(A160-1)*7+MATCH(B160,{"Lunes","Martes","Miércoles","Jueves","Viernes","Sábado","Domingo"},0)-1)</f>
        <v/>
      </c>
    </row>
    <row r="161" customFormat="false" ht="15" hidden="false" customHeight="false" outlineLevel="0" collapsed="false">
      <c r="G161" s="23" t="str">
        <f aca="false">IF(OR(D161="",E161=""),"",E161*IFERROR(VLOOKUP(F161,Perfil!$B$19:$C$24,2,0),1))</f>
        <v/>
      </c>
      <c r="H161" s="23" t="str">
        <f aca="false">IF(G161="","",G161/100*INDEX(Alimentos!$E$5:$E$40,MATCH($D161,Alimentos!$B$5:$B$40,0)))</f>
        <v/>
      </c>
      <c r="I161" s="23" t="str">
        <f aca="false">IF(G161="","",G161/100*INDEX(Alimentos!$F$5:$F$40,MATCH($D161,Alimentos!$B$5:$B$40,0)))</f>
        <v/>
      </c>
      <c r="J161" s="23" t="str">
        <f aca="false">IF(G161="","",G161/100*INDEX(Alimentos!$G$5:$G$40,MATCH($D161,Alimentos!$B$5:$B$40,0)))</f>
        <v/>
      </c>
      <c r="K161" s="23" t="str">
        <f aca="false">IF(G161="","",G161/100*INDEX(Alimentos!$H$5:$H$40,MATCH($D161,Alimentos!$B$5:$B$40,0)))</f>
        <v/>
      </c>
      <c r="L161" s="24" t="str">
        <f aca="false">IF(OR(A161="",B161=""),"",Perfil!$C$13+(A161-1)*7+MATCH(B161,{"Lunes","Martes","Miércoles","Jueves","Viernes","Sábado","Domingo"},0)-1)</f>
        <v/>
      </c>
    </row>
    <row r="162" customFormat="false" ht="15" hidden="false" customHeight="false" outlineLevel="0" collapsed="false">
      <c r="G162" s="23" t="str">
        <f aca="false">IF(OR(D162="",E162=""),"",E162*IFERROR(VLOOKUP(F162,Perfil!$B$19:$C$24,2,0),1))</f>
        <v/>
      </c>
      <c r="H162" s="23" t="str">
        <f aca="false">IF(G162="","",G162/100*INDEX(Alimentos!$E$5:$E$40,MATCH($D162,Alimentos!$B$5:$B$40,0)))</f>
        <v/>
      </c>
      <c r="I162" s="23" t="str">
        <f aca="false">IF(G162="","",G162/100*INDEX(Alimentos!$F$5:$F$40,MATCH($D162,Alimentos!$B$5:$B$40,0)))</f>
        <v/>
      </c>
      <c r="J162" s="23" t="str">
        <f aca="false">IF(G162="","",G162/100*INDEX(Alimentos!$G$5:$G$40,MATCH($D162,Alimentos!$B$5:$B$40,0)))</f>
        <v/>
      </c>
      <c r="K162" s="23" t="str">
        <f aca="false">IF(G162="","",G162/100*INDEX(Alimentos!$H$5:$H$40,MATCH($D162,Alimentos!$B$5:$B$40,0)))</f>
        <v/>
      </c>
      <c r="L162" s="24" t="str">
        <f aca="false">IF(OR(A162="",B162=""),"",Perfil!$C$13+(A162-1)*7+MATCH(B162,{"Lunes","Martes","Miércoles","Jueves","Viernes","Sábado","Domingo"},0)-1)</f>
        <v/>
      </c>
    </row>
    <row r="163" customFormat="false" ht="15" hidden="false" customHeight="false" outlineLevel="0" collapsed="false">
      <c r="G163" s="23" t="str">
        <f aca="false">IF(OR(D163="",E163=""),"",E163*IFERROR(VLOOKUP(F163,Perfil!$B$19:$C$24,2,0),1))</f>
        <v/>
      </c>
      <c r="H163" s="23" t="str">
        <f aca="false">IF(G163="","",G163/100*INDEX(Alimentos!$E$5:$E$40,MATCH($D163,Alimentos!$B$5:$B$40,0)))</f>
        <v/>
      </c>
      <c r="I163" s="23" t="str">
        <f aca="false">IF(G163="","",G163/100*INDEX(Alimentos!$F$5:$F$40,MATCH($D163,Alimentos!$B$5:$B$40,0)))</f>
        <v/>
      </c>
      <c r="J163" s="23" t="str">
        <f aca="false">IF(G163="","",G163/100*INDEX(Alimentos!$G$5:$G$40,MATCH($D163,Alimentos!$B$5:$B$40,0)))</f>
        <v/>
      </c>
      <c r="K163" s="23" t="str">
        <f aca="false">IF(G163="","",G163/100*INDEX(Alimentos!$H$5:$H$40,MATCH($D163,Alimentos!$B$5:$B$40,0)))</f>
        <v/>
      </c>
      <c r="L163" s="24" t="str">
        <f aca="false">IF(OR(A163="",B163=""),"",Perfil!$C$13+(A163-1)*7+MATCH(B163,{"Lunes","Martes","Miércoles","Jueves","Viernes","Sábado","Domingo"},0)-1)</f>
        <v/>
      </c>
    </row>
    <row r="164" customFormat="false" ht="15" hidden="false" customHeight="false" outlineLevel="0" collapsed="false">
      <c r="G164" s="23" t="str">
        <f aca="false">IF(OR(D164="",E164=""),"",E164*IFERROR(VLOOKUP(F164,Perfil!$B$19:$C$24,2,0),1))</f>
        <v/>
      </c>
      <c r="H164" s="23" t="str">
        <f aca="false">IF(G164="","",G164/100*INDEX(Alimentos!$E$5:$E$40,MATCH($D164,Alimentos!$B$5:$B$40,0)))</f>
        <v/>
      </c>
      <c r="I164" s="23" t="str">
        <f aca="false">IF(G164="","",G164/100*INDEX(Alimentos!$F$5:$F$40,MATCH($D164,Alimentos!$B$5:$B$40,0)))</f>
        <v/>
      </c>
      <c r="J164" s="23" t="str">
        <f aca="false">IF(G164="","",G164/100*INDEX(Alimentos!$G$5:$G$40,MATCH($D164,Alimentos!$B$5:$B$40,0)))</f>
        <v/>
      </c>
      <c r="K164" s="23" t="str">
        <f aca="false">IF(G164="","",G164/100*INDEX(Alimentos!$H$5:$H$40,MATCH($D164,Alimentos!$B$5:$B$40,0)))</f>
        <v/>
      </c>
      <c r="L164" s="24" t="str">
        <f aca="false">IF(OR(A164="",B164=""),"",Perfil!$C$13+(A164-1)*7+MATCH(B164,{"Lunes","Martes","Miércoles","Jueves","Viernes","Sábado","Domingo"},0)-1)</f>
        <v/>
      </c>
    </row>
    <row r="165" customFormat="false" ht="15" hidden="false" customHeight="false" outlineLevel="0" collapsed="false">
      <c r="G165" s="23" t="str">
        <f aca="false">IF(OR(D165="",E165=""),"",E165*IFERROR(VLOOKUP(F165,Perfil!$B$19:$C$24,2,0),1))</f>
        <v/>
      </c>
      <c r="H165" s="23" t="str">
        <f aca="false">IF(G165="","",G165/100*INDEX(Alimentos!$E$5:$E$40,MATCH($D165,Alimentos!$B$5:$B$40,0)))</f>
        <v/>
      </c>
      <c r="I165" s="23" t="str">
        <f aca="false">IF(G165="","",G165/100*INDEX(Alimentos!$F$5:$F$40,MATCH($D165,Alimentos!$B$5:$B$40,0)))</f>
        <v/>
      </c>
      <c r="J165" s="23" t="str">
        <f aca="false">IF(G165="","",G165/100*INDEX(Alimentos!$G$5:$G$40,MATCH($D165,Alimentos!$B$5:$B$40,0)))</f>
        <v/>
      </c>
      <c r="K165" s="23" t="str">
        <f aca="false">IF(G165="","",G165/100*INDEX(Alimentos!$H$5:$H$40,MATCH($D165,Alimentos!$B$5:$B$40,0)))</f>
        <v/>
      </c>
      <c r="L165" s="24" t="str">
        <f aca="false">IF(OR(A165="",B165=""),"",Perfil!$C$13+(A165-1)*7+MATCH(B165,{"Lunes","Martes","Miércoles","Jueves","Viernes","Sábado","Domingo"},0)-1)</f>
        <v/>
      </c>
    </row>
    <row r="166" customFormat="false" ht="15" hidden="false" customHeight="false" outlineLevel="0" collapsed="false">
      <c r="G166" s="23" t="str">
        <f aca="false">IF(OR(D166="",E166=""),"",E166*IFERROR(VLOOKUP(F166,Perfil!$B$19:$C$24,2,0),1))</f>
        <v/>
      </c>
      <c r="H166" s="23" t="str">
        <f aca="false">IF(G166="","",G166/100*INDEX(Alimentos!$E$5:$E$40,MATCH($D166,Alimentos!$B$5:$B$40,0)))</f>
        <v/>
      </c>
      <c r="I166" s="23" t="str">
        <f aca="false">IF(G166="","",G166/100*INDEX(Alimentos!$F$5:$F$40,MATCH($D166,Alimentos!$B$5:$B$40,0)))</f>
        <v/>
      </c>
      <c r="J166" s="23" t="str">
        <f aca="false">IF(G166="","",G166/100*INDEX(Alimentos!$G$5:$G$40,MATCH($D166,Alimentos!$B$5:$B$40,0)))</f>
        <v/>
      </c>
      <c r="K166" s="23" t="str">
        <f aca="false">IF(G166="","",G166/100*INDEX(Alimentos!$H$5:$H$40,MATCH($D166,Alimentos!$B$5:$B$40,0)))</f>
        <v/>
      </c>
      <c r="L166" s="24" t="str">
        <f aca="false">IF(OR(A166="",B166=""),"",Perfil!$C$13+(A166-1)*7+MATCH(B166,{"Lunes","Martes","Miércoles","Jueves","Viernes","Sábado","Domingo"},0)-1)</f>
        <v/>
      </c>
    </row>
    <row r="167" customFormat="false" ht="15" hidden="false" customHeight="false" outlineLevel="0" collapsed="false">
      <c r="G167" s="23" t="str">
        <f aca="false">IF(OR(D167="",E167=""),"",E167*IFERROR(VLOOKUP(F167,Perfil!$B$19:$C$24,2,0),1))</f>
        <v/>
      </c>
      <c r="H167" s="23" t="str">
        <f aca="false">IF(G167="","",G167/100*INDEX(Alimentos!$E$5:$E$40,MATCH($D167,Alimentos!$B$5:$B$40,0)))</f>
        <v/>
      </c>
      <c r="I167" s="23" t="str">
        <f aca="false">IF(G167="","",G167/100*INDEX(Alimentos!$F$5:$F$40,MATCH($D167,Alimentos!$B$5:$B$40,0)))</f>
        <v/>
      </c>
      <c r="J167" s="23" t="str">
        <f aca="false">IF(G167="","",G167/100*INDEX(Alimentos!$G$5:$G$40,MATCH($D167,Alimentos!$B$5:$B$40,0)))</f>
        <v/>
      </c>
      <c r="K167" s="23" t="str">
        <f aca="false">IF(G167="","",G167/100*INDEX(Alimentos!$H$5:$H$40,MATCH($D167,Alimentos!$B$5:$B$40,0)))</f>
        <v/>
      </c>
      <c r="L167" s="24" t="str">
        <f aca="false">IF(OR(A167="",B167=""),"",Perfil!$C$13+(A167-1)*7+MATCH(B167,{"Lunes","Martes","Miércoles","Jueves","Viernes","Sábado","Domingo"},0)-1)</f>
        <v/>
      </c>
    </row>
    <row r="168" customFormat="false" ht="15" hidden="false" customHeight="false" outlineLevel="0" collapsed="false">
      <c r="G168" s="23" t="str">
        <f aca="false">IF(OR(D168="",E168=""),"",E168*IFERROR(VLOOKUP(F168,Perfil!$B$19:$C$24,2,0),1))</f>
        <v/>
      </c>
      <c r="H168" s="23" t="str">
        <f aca="false">IF(G168="","",G168/100*INDEX(Alimentos!$E$5:$E$40,MATCH($D168,Alimentos!$B$5:$B$40,0)))</f>
        <v/>
      </c>
      <c r="I168" s="23" t="str">
        <f aca="false">IF(G168="","",G168/100*INDEX(Alimentos!$F$5:$F$40,MATCH($D168,Alimentos!$B$5:$B$40,0)))</f>
        <v/>
      </c>
      <c r="J168" s="23" t="str">
        <f aca="false">IF(G168="","",G168/100*INDEX(Alimentos!$G$5:$G$40,MATCH($D168,Alimentos!$B$5:$B$40,0)))</f>
        <v/>
      </c>
      <c r="K168" s="23" t="str">
        <f aca="false">IF(G168="","",G168/100*INDEX(Alimentos!$H$5:$H$40,MATCH($D168,Alimentos!$B$5:$B$40,0)))</f>
        <v/>
      </c>
      <c r="L168" s="24" t="str">
        <f aca="false">IF(OR(A168="",B168=""),"",Perfil!$C$13+(A168-1)*7+MATCH(B168,{"Lunes","Martes","Miércoles","Jueves","Viernes","Sábado","Domingo"},0)-1)</f>
        <v/>
      </c>
    </row>
    <row r="169" customFormat="false" ht="15" hidden="false" customHeight="false" outlineLevel="0" collapsed="false">
      <c r="G169" s="23" t="str">
        <f aca="false">IF(OR(D169="",E169=""),"",E169*IFERROR(VLOOKUP(F169,Perfil!$B$19:$C$24,2,0),1))</f>
        <v/>
      </c>
      <c r="H169" s="23" t="str">
        <f aca="false">IF(G169="","",G169/100*INDEX(Alimentos!$E$5:$E$40,MATCH($D169,Alimentos!$B$5:$B$40,0)))</f>
        <v/>
      </c>
      <c r="I169" s="23" t="str">
        <f aca="false">IF(G169="","",G169/100*INDEX(Alimentos!$F$5:$F$40,MATCH($D169,Alimentos!$B$5:$B$40,0)))</f>
        <v/>
      </c>
      <c r="J169" s="23" t="str">
        <f aca="false">IF(G169="","",G169/100*INDEX(Alimentos!$G$5:$G$40,MATCH($D169,Alimentos!$B$5:$B$40,0)))</f>
        <v/>
      </c>
      <c r="K169" s="23" t="str">
        <f aca="false">IF(G169="","",G169/100*INDEX(Alimentos!$H$5:$H$40,MATCH($D169,Alimentos!$B$5:$B$40,0)))</f>
        <v/>
      </c>
      <c r="L169" s="24" t="str">
        <f aca="false">IF(OR(A169="",B169=""),"",Perfil!$C$13+(A169-1)*7+MATCH(B169,{"Lunes","Martes","Miércoles","Jueves","Viernes","Sábado","Domingo"},0)-1)</f>
        <v/>
      </c>
    </row>
    <row r="170" customFormat="false" ht="15" hidden="false" customHeight="false" outlineLevel="0" collapsed="false">
      <c r="G170" s="23" t="str">
        <f aca="false">IF(OR(D170="",E170=""),"",E170*IFERROR(VLOOKUP(F170,Perfil!$B$19:$C$24,2,0),1))</f>
        <v/>
      </c>
      <c r="H170" s="23" t="str">
        <f aca="false">IF(G170="","",G170/100*INDEX(Alimentos!$E$5:$E$40,MATCH($D170,Alimentos!$B$5:$B$40,0)))</f>
        <v/>
      </c>
      <c r="I170" s="23" t="str">
        <f aca="false">IF(G170="","",G170/100*INDEX(Alimentos!$F$5:$F$40,MATCH($D170,Alimentos!$B$5:$B$40,0)))</f>
        <v/>
      </c>
      <c r="J170" s="23" t="str">
        <f aca="false">IF(G170="","",G170/100*INDEX(Alimentos!$G$5:$G$40,MATCH($D170,Alimentos!$B$5:$B$40,0)))</f>
        <v/>
      </c>
      <c r="K170" s="23" t="str">
        <f aca="false">IF(G170="","",G170/100*INDEX(Alimentos!$H$5:$H$40,MATCH($D170,Alimentos!$B$5:$B$40,0)))</f>
        <v/>
      </c>
      <c r="L170" s="24" t="str">
        <f aca="false">IF(OR(A170="",B170=""),"",Perfil!$C$13+(A170-1)*7+MATCH(B170,{"Lunes","Martes","Miércoles","Jueves","Viernes","Sábado","Domingo"},0)-1)</f>
        <v/>
      </c>
    </row>
    <row r="171" customFormat="false" ht="15" hidden="false" customHeight="false" outlineLevel="0" collapsed="false">
      <c r="G171" s="23" t="str">
        <f aca="false">IF(OR(D171="",E171=""),"",E171*IFERROR(VLOOKUP(F171,Perfil!$B$19:$C$24,2,0),1))</f>
        <v/>
      </c>
      <c r="H171" s="23" t="str">
        <f aca="false">IF(G171="","",G171/100*INDEX(Alimentos!$E$5:$E$40,MATCH($D171,Alimentos!$B$5:$B$40,0)))</f>
        <v/>
      </c>
      <c r="I171" s="23" t="str">
        <f aca="false">IF(G171="","",G171/100*INDEX(Alimentos!$F$5:$F$40,MATCH($D171,Alimentos!$B$5:$B$40,0)))</f>
        <v/>
      </c>
      <c r="J171" s="23" t="str">
        <f aca="false">IF(G171="","",G171/100*INDEX(Alimentos!$G$5:$G$40,MATCH($D171,Alimentos!$B$5:$B$40,0)))</f>
        <v/>
      </c>
      <c r="K171" s="23" t="str">
        <f aca="false">IF(G171="","",G171/100*INDEX(Alimentos!$H$5:$H$40,MATCH($D171,Alimentos!$B$5:$B$40,0)))</f>
        <v/>
      </c>
      <c r="L171" s="24" t="str">
        <f aca="false">IF(OR(A171="",B171=""),"",Perfil!$C$13+(A171-1)*7+MATCH(B171,{"Lunes","Martes","Miércoles","Jueves","Viernes","Sábado","Domingo"},0)-1)</f>
        <v/>
      </c>
    </row>
    <row r="172" customFormat="false" ht="15" hidden="false" customHeight="false" outlineLevel="0" collapsed="false">
      <c r="G172" s="23" t="str">
        <f aca="false">IF(OR(D172="",E172=""),"",E172*IFERROR(VLOOKUP(F172,Perfil!$B$19:$C$24,2,0),1))</f>
        <v/>
      </c>
      <c r="H172" s="23" t="str">
        <f aca="false">IF(G172="","",G172/100*INDEX(Alimentos!$E$5:$E$40,MATCH($D172,Alimentos!$B$5:$B$40,0)))</f>
        <v/>
      </c>
      <c r="I172" s="23" t="str">
        <f aca="false">IF(G172="","",G172/100*INDEX(Alimentos!$F$5:$F$40,MATCH($D172,Alimentos!$B$5:$B$40,0)))</f>
        <v/>
      </c>
      <c r="J172" s="23" t="str">
        <f aca="false">IF(G172="","",G172/100*INDEX(Alimentos!$G$5:$G$40,MATCH($D172,Alimentos!$B$5:$B$40,0)))</f>
        <v/>
      </c>
      <c r="K172" s="23" t="str">
        <f aca="false">IF(G172="","",G172/100*INDEX(Alimentos!$H$5:$H$40,MATCH($D172,Alimentos!$B$5:$B$40,0)))</f>
        <v/>
      </c>
      <c r="L172" s="24" t="str">
        <f aca="false">IF(OR(A172="",B172=""),"",Perfil!$C$13+(A172-1)*7+MATCH(B172,{"Lunes","Martes","Miércoles","Jueves","Viernes","Sábado","Domingo"},0)-1)</f>
        <v/>
      </c>
    </row>
    <row r="173" customFormat="false" ht="15" hidden="false" customHeight="false" outlineLevel="0" collapsed="false">
      <c r="G173" s="23" t="str">
        <f aca="false">IF(OR(D173="",E173=""),"",E173*IFERROR(VLOOKUP(F173,Perfil!$B$19:$C$24,2,0),1))</f>
        <v/>
      </c>
      <c r="H173" s="23" t="str">
        <f aca="false">IF(G173="","",G173/100*INDEX(Alimentos!$E$5:$E$40,MATCH($D173,Alimentos!$B$5:$B$40,0)))</f>
        <v/>
      </c>
      <c r="I173" s="23" t="str">
        <f aca="false">IF(G173="","",G173/100*INDEX(Alimentos!$F$5:$F$40,MATCH($D173,Alimentos!$B$5:$B$40,0)))</f>
        <v/>
      </c>
      <c r="J173" s="23" t="str">
        <f aca="false">IF(G173="","",G173/100*INDEX(Alimentos!$G$5:$G$40,MATCH($D173,Alimentos!$B$5:$B$40,0)))</f>
        <v/>
      </c>
      <c r="K173" s="23" t="str">
        <f aca="false">IF(G173="","",G173/100*INDEX(Alimentos!$H$5:$H$40,MATCH($D173,Alimentos!$B$5:$B$40,0)))</f>
        <v/>
      </c>
      <c r="L173" s="24" t="str">
        <f aca="false">IF(OR(A173="",B173=""),"",Perfil!$C$13+(A173-1)*7+MATCH(B173,{"Lunes","Martes","Miércoles","Jueves","Viernes","Sábado","Domingo"},0)-1)</f>
        <v/>
      </c>
    </row>
    <row r="174" customFormat="false" ht="15" hidden="false" customHeight="false" outlineLevel="0" collapsed="false">
      <c r="G174" s="23" t="str">
        <f aca="false">IF(OR(D174="",E174=""),"",E174*IFERROR(VLOOKUP(F174,Perfil!$B$19:$C$24,2,0),1))</f>
        <v/>
      </c>
      <c r="H174" s="23" t="str">
        <f aca="false">IF(G174="","",G174/100*INDEX(Alimentos!$E$5:$E$40,MATCH($D174,Alimentos!$B$5:$B$40,0)))</f>
        <v/>
      </c>
      <c r="I174" s="23" t="str">
        <f aca="false">IF(G174="","",G174/100*INDEX(Alimentos!$F$5:$F$40,MATCH($D174,Alimentos!$B$5:$B$40,0)))</f>
        <v/>
      </c>
      <c r="J174" s="23" t="str">
        <f aca="false">IF(G174="","",G174/100*INDEX(Alimentos!$G$5:$G$40,MATCH($D174,Alimentos!$B$5:$B$40,0)))</f>
        <v/>
      </c>
      <c r="K174" s="23" t="str">
        <f aca="false">IF(G174="","",G174/100*INDEX(Alimentos!$H$5:$H$40,MATCH($D174,Alimentos!$B$5:$B$40,0)))</f>
        <v/>
      </c>
      <c r="L174" s="24" t="str">
        <f aca="false">IF(OR(A174="",B174=""),"",Perfil!$C$13+(A174-1)*7+MATCH(B174,{"Lunes","Martes","Miércoles","Jueves","Viernes","Sábado","Domingo"},0)-1)</f>
        <v/>
      </c>
    </row>
    <row r="175" customFormat="false" ht="15" hidden="false" customHeight="false" outlineLevel="0" collapsed="false">
      <c r="G175" s="23" t="str">
        <f aca="false">IF(OR(D175="",E175=""),"",E175*IFERROR(VLOOKUP(F175,Perfil!$B$19:$C$24,2,0),1))</f>
        <v/>
      </c>
      <c r="H175" s="23" t="str">
        <f aca="false">IF(G175="","",G175/100*INDEX(Alimentos!$E$5:$E$40,MATCH($D175,Alimentos!$B$5:$B$40,0)))</f>
        <v/>
      </c>
      <c r="I175" s="23" t="str">
        <f aca="false">IF(G175="","",G175/100*INDEX(Alimentos!$F$5:$F$40,MATCH($D175,Alimentos!$B$5:$B$40,0)))</f>
        <v/>
      </c>
      <c r="J175" s="23" t="str">
        <f aca="false">IF(G175="","",G175/100*INDEX(Alimentos!$G$5:$G$40,MATCH($D175,Alimentos!$B$5:$B$40,0)))</f>
        <v/>
      </c>
      <c r="K175" s="23" t="str">
        <f aca="false">IF(G175="","",G175/100*INDEX(Alimentos!$H$5:$H$40,MATCH($D175,Alimentos!$B$5:$B$40,0)))</f>
        <v/>
      </c>
      <c r="L175" s="24" t="str">
        <f aca="false">IF(OR(A175="",B175=""),"",Perfil!$C$13+(A175-1)*7+MATCH(B175,{"Lunes","Martes","Miércoles","Jueves","Viernes","Sábado","Domingo"},0)-1)</f>
        <v/>
      </c>
    </row>
    <row r="176" customFormat="false" ht="15" hidden="false" customHeight="false" outlineLevel="0" collapsed="false">
      <c r="G176" s="23" t="str">
        <f aca="false">IF(OR(D176="",E176=""),"",E176*IFERROR(VLOOKUP(F176,Perfil!$B$19:$C$24,2,0),1))</f>
        <v/>
      </c>
      <c r="H176" s="23" t="str">
        <f aca="false">IF(G176="","",G176/100*INDEX(Alimentos!$E$5:$E$40,MATCH($D176,Alimentos!$B$5:$B$40,0)))</f>
        <v/>
      </c>
      <c r="I176" s="23" t="str">
        <f aca="false">IF(G176="","",G176/100*INDEX(Alimentos!$F$5:$F$40,MATCH($D176,Alimentos!$B$5:$B$40,0)))</f>
        <v/>
      </c>
      <c r="J176" s="23" t="str">
        <f aca="false">IF(G176="","",G176/100*INDEX(Alimentos!$G$5:$G$40,MATCH($D176,Alimentos!$B$5:$B$40,0)))</f>
        <v/>
      </c>
      <c r="K176" s="23" t="str">
        <f aca="false">IF(G176="","",G176/100*INDEX(Alimentos!$H$5:$H$40,MATCH($D176,Alimentos!$B$5:$B$40,0)))</f>
        <v/>
      </c>
      <c r="L176" s="24" t="str">
        <f aca="false">IF(OR(A176="",B176=""),"",Perfil!$C$13+(A176-1)*7+MATCH(B176,{"Lunes","Martes","Miércoles","Jueves","Viernes","Sábado","Domingo"},0)-1)</f>
        <v/>
      </c>
    </row>
    <row r="177" customFormat="false" ht="15" hidden="false" customHeight="false" outlineLevel="0" collapsed="false">
      <c r="G177" s="23" t="str">
        <f aca="false">IF(OR(D177="",E177=""),"",E177*IFERROR(VLOOKUP(F177,Perfil!$B$19:$C$24,2,0),1))</f>
        <v/>
      </c>
      <c r="H177" s="23" t="str">
        <f aca="false">IF(G177="","",G177/100*INDEX(Alimentos!$E$5:$E$40,MATCH($D177,Alimentos!$B$5:$B$40,0)))</f>
        <v/>
      </c>
      <c r="I177" s="23" t="str">
        <f aca="false">IF(G177="","",G177/100*INDEX(Alimentos!$F$5:$F$40,MATCH($D177,Alimentos!$B$5:$B$40,0)))</f>
        <v/>
      </c>
      <c r="J177" s="23" t="str">
        <f aca="false">IF(G177="","",G177/100*INDEX(Alimentos!$G$5:$G$40,MATCH($D177,Alimentos!$B$5:$B$40,0)))</f>
        <v/>
      </c>
      <c r="K177" s="23" t="str">
        <f aca="false">IF(G177="","",G177/100*INDEX(Alimentos!$H$5:$H$40,MATCH($D177,Alimentos!$B$5:$B$40,0)))</f>
        <v/>
      </c>
      <c r="L177" s="24" t="str">
        <f aca="false">IF(OR(A177="",B177=""),"",Perfil!$C$13+(A177-1)*7+MATCH(B177,{"Lunes","Martes","Miércoles","Jueves","Viernes","Sábado","Domingo"},0)-1)</f>
        <v/>
      </c>
    </row>
    <row r="178" customFormat="false" ht="15" hidden="false" customHeight="false" outlineLevel="0" collapsed="false">
      <c r="G178" s="23" t="str">
        <f aca="false">IF(OR(D178="",E178=""),"",E178*IFERROR(VLOOKUP(F178,Perfil!$B$19:$C$24,2,0),1))</f>
        <v/>
      </c>
      <c r="H178" s="23" t="str">
        <f aca="false">IF(G178="","",G178/100*INDEX(Alimentos!$E$5:$E$40,MATCH($D178,Alimentos!$B$5:$B$40,0)))</f>
        <v/>
      </c>
      <c r="I178" s="23" t="str">
        <f aca="false">IF(G178="","",G178/100*INDEX(Alimentos!$F$5:$F$40,MATCH($D178,Alimentos!$B$5:$B$40,0)))</f>
        <v/>
      </c>
      <c r="J178" s="23" t="str">
        <f aca="false">IF(G178="","",G178/100*INDEX(Alimentos!$G$5:$G$40,MATCH($D178,Alimentos!$B$5:$B$40,0)))</f>
        <v/>
      </c>
      <c r="K178" s="23" t="str">
        <f aca="false">IF(G178="","",G178/100*INDEX(Alimentos!$H$5:$H$40,MATCH($D178,Alimentos!$B$5:$B$40,0)))</f>
        <v/>
      </c>
      <c r="L178" s="24" t="str">
        <f aca="false">IF(OR(A178="",B178=""),"",Perfil!$C$13+(A178-1)*7+MATCH(B178,{"Lunes","Martes","Miércoles","Jueves","Viernes","Sábado","Domingo"},0)-1)</f>
        <v/>
      </c>
    </row>
    <row r="179" customFormat="false" ht="15" hidden="false" customHeight="false" outlineLevel="0" collapsed="false">
      <c r="G179" s="23" t="str">
        <f aca="false">IF(OR(D179="",E179=""),"",E179*IFERROR(VLOOKUP(F179,Perfil!$B$19:$C$24,2,0),1))</f>
        <v/>
      </c>
      <c r="H179" s="23" t="str">
        <f aca="false">IF(G179="","",G179/100*INDEX(Alimentos!$E$5:$E$40,MATCH($D179,Alimentos!$B$5:$B$40,0)))</f>
        <v/>
      </c>
      <c r="I179" s="23" t="str">
        <f aca="false">IF(G179="","",G179/100*INDEX(Alimentos!$F$5:$F$40,MATCH($D179,Alimentos!$B$5:$B$40,0)))</f>
        <v/>
      </c>
      <c r="J179" s="23" t="str">
        <f aca="false">IF(G179="","",G179/100*INDEX(Alimentos!$G$5:$G$40,MATCH($D179,Alimentos!$B$5:$B$40,0)))</f>
        <v/>
      </c>
      <c r="K179" s="23" t="str">
        <f aca="false">IF(G179="","",G179/100*INDEX(Alimentos!$H$5:$H$40,MATCH($D179,Alimentos!$B$5:$B$40,0)))</f>
        <v/>
      </c>
      <c r="L179" s="24" t="str">
        <f aca="false">IF(OR(A179="",B179=""),"",Perfil!$C$13+(A179-1)*7+MATCH(B179,{"Lunes","Martes","Miércoles","Jueves","Viernes","Sábado","Domingo"},0)-1)</f>
        <v/>
      </c>
    </row>
    <row r="180" customFormat="false" ht="15" hidden="false" customHeight="false" outlineLevel="0" collapsed="false">
      <c r="G180" s="23" t="str">
        <f aca="false">IF(OR(D180="",E180=""),"",E180*IFERROR(VLOOKUP(F180,Perfil!$B$19:$C$24,2,0),1))</f>
        <v/>
      </c>
      <c r="H180" s="23" t="str">
        <f aca="false">IF(G180="","",G180/100*INDEX(Alimentos!$E$5:$E$40,MATCH($D180,Alimentos!$B$5:$B$40,0)))</f>
        <v/>
      </c>
      <c r="I180" s="23" t="str">
        <f aca="false">IF(G180="","",G180/100*INDEX(Alimentos!$F$5:$F$40,MATCH($D180,Alimentos!$B$5:$B$40,0)))</f>
        <v/>
      </c>
      <c r="J180" s="23" t="str">
        <f aca="false">IF(G180="","",G180/100*INDEX(Alimentos!$G$5:$G$40,MATCH($D180,Alimentos!$B$5:$B$40,0)))</f>
        <v/>
      </c>
      <c r="K180" s="23" t="str">
        <f aca="false">IF(G180="","",G180/100*INDEX(Alimentos!$H$5:$H$40,MATCH($D180,Alimentos!$B$5:$B$40,0)))</f>
        <v/>
      </c>
      <c r="L180" s="24" t="str">
        <f aca="false">IF(OR(A180="",B180=""),"",Perfil!$C$13+(A180-1)*7+MATCH(B180,{"Lunes","Martes","Miércoles","Jueves","Viernes","Sábado","Domingo"},0)-1)</f>
        <v/>
      </c>
    </row>
    <row r="181" customFormat="false" ht="15" hidden="false" customHeight="false" outlineLevel="0" collapsed="false">
      <c r="G181" s="23" t="str">
        <f aca="false">IF(OR(D181="",E181=""),"",E181*IFERROR(VLOOKUP(F181,Perfil!$B$19:$C$24,2,0),1))</f>
        <v/>
      </c>
      <c r="H181" s="23" t="str">
        <f aca="false">IF(G181="","",G181/100*INDEX(Alimentos!$E$5:$E$40,MATCH($D181,Alimentos!$B$5:$B$40,0)))</f>
        <v/>
      </c>
      <c r="I181" s="23" t="str">
        <f aca="false">IF(G181="","",G181/100*INDEX(Alimentos!$F$5:$F$40,MATCH($D181,Alimentos!$B$5:$B$40,0)))</f>
        <v/>
      </c>
      <c r="J181" s="23" t="str">
        <f aca="false">IF(G181="","",G181/100*INDEX(Alimentos!$G$5:$G$40,MATCH($D181,Alimentos!$B$5:$B$40,0)))</f>
        <v/>
      </c>
      <c r="K181" s="23" t="str">
        <f aca="false">IF(G181="","",G181/100*INDEX(Alimentos!$H$5:$H$40,MATCH($D181,Alimentos!$B$5:$B$40,0)))</f>
        <v/>
      </c>
      <c r="L181" s="24" t="str">
        <f aca="false">IF(OR(A181="",B181=""),"",Perfil!$C$13+(A181-1)*7+MATCH(B181,{"Lunes","Martes","Miércoles","Jueves","Viernes","Sábado","Domingo"},0)-1)</f>
        <v/>
      </c>
    </row>
    <row r="182" customFormat="false" ht="15" hidden="false" customHeight="false" outlineLevel="0" collapsed="false">
      <c r="G182" s="23" t="str">
        <f aca="false">IF(OR(D182="",E182=""),"",E182*IFERROR(VLOOKUP(F182,Perfil!$B$19:$C$24,2,0),1))</f>
        <v/>
      </c>
      <c r="H182" s="23" t="str">
        <f aca="false">IF(G182="","",G182/100*INDEX(Alimentos!$E$5:$E$40,MATCH($D182,Alimentos!$B$5:$B$40,0)))</f>
        <v/>
      </c>
      <c r="I182" s="23" t="str">
        <f aca="false">IF(G182="","",G182/100*INDEX(Alimentos!$F$5:$F$40,MATCH($D182,Alimentos!$B$5:$B$40,0)))</f>
        <v/>
      </c>
      <c r="J182" s="23" t="str">
        <f aca="false">IF(G182="","",G182/100*INDEX(Alimentos!$G$5:$G$40,MATCH($D182,Alimentos!$B$5:$B$40,0)))</f>
        <v/>
      </c>
      <c r="K182" s="23" t="str">
        <f aca="false">IF(G182="","",G182/100*INDEX(Alimentos!$H$5:$H$40,MATCH($D182,Alimentos!$B$5:$B$40,0)))</f>
        <v/>
      </c>
      <c r="L182" s="24" t="str">
        <f aca="false">IF(OR(A182="",B182=""),"",Perfil!$C$13+(A182-1)*7+MATCH(B182,{"Lunes","Martes","Miércoles","Jueves","Viernes","Sábado","Domingo"},0)-1)</f>
        <v/>
      </c>
    </row>
    <row r="183" customFormat="false" ht="15" hidden="false" customHeight="false" outlineLevel="0" collapsed="false">
      <c r="G183" s="23" t="str">
        <f aca="false">IF(OR(D183="",E183=""),"",E183*IFERROR(VLOOKUP(F183,Perfil!$B$19:$C$24,2,0),1))</f>
        <v/>
      </c>
      <c r="H183" s="23" t="str">
        <f aca="false">IF(G183="","",G183/100*INDEX(Alimentos!$E$5:$E$40,MATCH($D183,Alimentos!$B$5:$B$40,0)))</f>
        <v/>
      </c>
      <c r="I183" s="23" t="str">
        <f aca="false">IF(G183="","",G183/100*INDEX(Alimentos!$F$5:$F$40,MATCH($D183,Alimentos!$B$5:$B$40,0)))</f>
        <v/>
      </c>
      <c r="J183" s="23" t="str">
        <f aca="false">IF(G183="","",G183/100*INDEX(Alimentos!$G$5:$G$40,MATCH($D183,Alimentos!$B$5:$B$40,0)))</f>
        <v/>
      </c>
      <c r="K183" s="23" t="str">
        <f aca="false">IF(G183="","",G183/100*INDEX(Alimentos!$H$5:$H$40,MATCH($D183,Alimentos!$B$5:$B$40,0)))</f>
        <v/>
      </c>
      <c r="L183" s="24" t="str">
        <f aca="false">IF(OR(A183="",B183=""),"",Perfil!$C$13+(A183-1)*7+MATCH(B183,{"Lunes","Martes","Miércoles","Jueves","Viernes","Sábado","Domingo"},0)-1)</f>
        <v/>
      </c>
    </row>
    <row r="184" customFormat="false" ht="15" hidden="false" customHeight="false" outlineLevel="0" collapsed="false">
      <c r="G184" s="23" t="str">
        <f aca="false">IF(OR(D184="",E184=""),"",E184*IFERROR(VLOOKUP(F184,Perfil!$B$19:$C$24,2,0),1))</f>
        <v/>
      </c>
      <c r="H184" s="23" t="str">
        <f aca="false">IF(G184="","",G184/100*INDEX(Alimentos!$E$5:$E$40,MATCH($D184,Alimentos!$B$5:$B$40,0)))</f>
        <v/>
      </c>
      <c r="I184" s="23" t="str">
        <f aca="false">IF(G184="","",G184/100*INDEX(Alimentos!$F$5:$F$40,MATCH($D184,Alimentos!$B$5:$B$40,0)))</f>
        <v/>
      </c>
      <c r="J184" s="23" t="str">
        <f aca="false">IF(G184="","",G184/100*INDEX(Alimentos!$G$5:$G$40,MATCH($D184,Alimentos!$B$5:$B$40,0)))</f>
        <v/>
      </c>
      <c r="K184" s="23" t="str">
        <f aca="false">IF(G184="","",G184/100*INDEX(Alimentos!$H$5:$H$40,MATCH($D184,Alimentos!$B$5:$B$40,0)))</f>
        <v/>
      </c>
      <c r="L184" s="24" t="str">
        <f aca="false">IF(OR(A184="",B184=""),"",Perfil!$C$13+(A184-1)*7+MATCH(B184,{"Lunes","Martes","Miércoles","Jueves","Viernes","Sábado","Domingo"},0)-1)</f>
        <v/>
      </c>
    </row>
    <row r="185" customFormat="false" ht="15" hidden="false" customHeight="false" outlineLevel="0" collapsed="false">
      <c r="G185" s="23" t="str">
        <f aca="false">IF(OR(D185="",E185=""),"",E185*IFERROR(VLOOKUP(F185,Perfil!$B$19:$C$24,2,0),1))</f>
        <v/>
      </c>
      <c r="H185" s="23" t="str">
        <f aca="false">IF(G185="","",G185/100*INDEX(Alimentos!$E$5:$E$40,MATCH($D185,Alimentos!$B$5:$B$40,0)))</f>
        <v/>
      </c>
      <c r="I185" s="23" t="str">
        <f aca="false">IF(G185="","",G185/100*INDEX(Alimentos!$F$5:$F$40,MATCH($D185,Alimentos!$B$5:$B$40,0)))</f>
        <v/>
      </c>
      <c r="J185" s="23" t="str">
        <f aca="false">IF(G185="","",G185/100*INDEX(Alimentos!$G$5:$G$40,MATCH($D185,Alimentos!$B$5:$B$40,0)))</f>
        <v/>
      </c>
      <c r="K185" s="23" t="str">
        <f aca="false">IF(G185="","",G185/100*INDEX(Alimentos!$H$5:$H$40,MATCH($D185,Alimentos!$B$5:$B$40,0)))</f>
        <v/>
      </c>
      <c r="L185" s="24" t="str">
        <f aca="false">IF(OR(A185="",B185=""),"",Perfil!$C$13+(A185-1)*7+MATCH(B185,{"Lunes","Martes","Miércoles","Jueves","Viernes","Sábado","Domingo"},0)-1)</f>
        <v/>
      </c>
    </row>
    <row r="186" customFormat="false" ht="15" hidden="false" customHeight="false" outlineLevel="0" collapsed="false">
      <c r="G186" s="23" t="str">
        <f aca="false">IF(OR(D186="",E186=""),"",E186*IFERROR(VLOOKUP(F186,Perfil!$B$19:$C$24,2,0),1))</f>
        <v/>
      </c>
      <c r="H186" s="23" t="str">
        <f aca="false">IF(G186="","",G186/100*INDEX(Alimentos!$E$5:$E$40,MATCH($D186,Alimentos!$B$5:$B$40,0)))</f>
        <v/>
      </c>
      <c r="I186" s="23" t="str">
        <f aca="false">IF(G186="","",G186/100*INDEX(Alimentos!$F$5:$F$40,MATCH($D186,Alimentos!$B$5:$B$40,0)))</f>
        <v/>
      </c>
      <c r="J186" s="23" t="str">
        <f aca="false">IF(G186="","",G186/100*INDEX(Alimentos!$G$5:$G$40,MATCH($D186,Alimentos!$B$5:$B$40,0)))</f>
        <v/>
      </c>
      <c r="K186" s="23" t="str">
        <f aca="false">IF(G186="","",G186/100*INDEX(Alimentos!$H$5:$H$40,MATCH($D186,Alimentos!$B$5:$B$40,0)))</f>
        <v/>
      </c>
      <c r="L186" s="24" t="str">
        <f aca="false">IF(OR(A186="",B186=""),"",Perfil!$C$13+(A186-1)*7+MATCH(B186,{"Lunes","Martes","Miércoles","Jueves","Viernes","Sábado","Domingo"},0)-1)</f>
        <v/>
      </c>
    </row>
    <row r="187" customFormat="false" ht="15" hidden="false" customHeight="false" outlineLevel="0" collapsed="false">
      <c r="G187" s="23" t="str">
        <f aca="false">IF(OR(D187="",E187=""),"",E187*IFERROR(VLOOKUP(F187,Perfil!$B$19:$C$24,2,0),1))</f>
        <v/>
      </c>
      <c r="H187" s="23" t="str">
        <f aca="false">IF(G187="","",G187/100*INDEX(Alimentos!$E$5:$E$40,MATCH($D187,Alimentos!$B$5:$B$40,0)))</f>
        <v/>
      </c>
      <c r="I187" s="23" t="str">
        <f aca="false">IF(G187="","",G187/100*INDEX(Alimentos!$F$5:$F$40,MATCH($D187,Alimentos!$B$5:$B$40,0)))</f>
        <v/>
      </c>
      <c r="J187" s="23" t="str">
        <f aca="false">IF(G187="","",G187/100*INDEX(Alimentos!$G$5:$G$40,MATCH($D187,Alimentos!$B$5:$B$40,0)))</f>
        <v/>
      </c>
      <c r="K187" s="23" t="str">
        <f aca="false">IF(G187="","",G187/100*INDEX(Alimentos!$H$5:$H$40,MATCH($D187,Alimentos!$B$5:$B$40,0)))</f>
        <v/>
      </c>
      <c r="L187" s="24" t="str">
        <f aca="false">IF(OR(A187="",B187=""),"",Perfil!$C$13+(A187-1)*7+MATCH(B187,{"Lunes","Martes","Miércoles","Jueves","Viernes","Sábado","Domingo"},0)-1)</f>
        <v/>
      </c>
    </row>
    <row r="188" customFormat="false" ht="15" hidden="false" customHeight="false" outlineLevel="0" collapsed="false">
      <c r="G188" s="23" t="str">
        <f aca="false">IF(OR(D188="",E188=""),"",E188*IFERROR(VLOOKUP(F188,Perfil!$B$19:$C$24,2,0),1))</f>
        <v/>
      </c>
      <c r="H188" s="23" t="str">
        <f aca="false">IF(G188="","",G188/100*INDEX(Alimentos!$E$5:$E$40,MATCH($D188,Alimentos!$B$5:$B$40,0)))</f>
        <v/>
      </c>
      <c r="I188" s="23" t="str">
        <f aca="false">IF(G188="","",G188/100*INDEX(Alimentos!$F$5:$F$40,MATCH($D188,Alimentos!$B$5:$B$40,0)))</f>
        <v/>
      </c>
      <c r="J188" s="23" t="str">
        <f aca="false">IF(G188="","",G188/100*INDEX(Alimentos!$G$5:$G$40,MATCH($D188,Alimentos!$B$5:$B$40,0)))</f>
        <v/>
      </c>
      <c r="K188" s="23" t="str">
        <f aca="false">IF(G188="","",G188/100*INDEX(Alimentos!$H$5:$H$40,MATCH($D188,Alimentos!$B$5:$B$40,0)))</f>
        <v/>
      </c>
      <c r="L188" s="24" t="str">
        <f aca="false">IF(OR(A188="",B188=""),"",Perfil!$C$13+(A188-1)*7+MATCH(B188,{"Lunes","Martes","Miércoles","Jueves","Viernes","Sábado","Domingo"},0)-1)</f>
        <v/>
      </c>
    </row>
    <row r="189" customFormat="false" ht="15" hidden="false" customHeight="false" outlineLevel="0" collapsed="false">
      <c r="G189" s="23" t="str">
        <f aca="false">IF(OR(D189="",E189=""),"",E189*IFERROR(VLOOKUP(F189,Perfil!$B$19:$C$24,2,0),1))</f>
        <v/>
      </c>
      <c r="H189" s="23" t="str">
        <f aca="false">IF(G189="","",G189/100*INDEX(Alimentos!$E$5:$E$40,MATCH($D189,Alimentos!$B$5:$B$40,0)))</f>
        <v/>
      </c>
      <c r="I189" s="23" t="str">
        <f aca="false">IF(G189="","",G189/100*INDEX(Alimentos!$F$5:$F$40,MATCH($D189,Alimentos!$B$5:$B$40,0)))</f>
        <v/>
      </c>
      <c r="J189" s="23" t="str">
        <f aca="false">IF(G189="","",G189/100*INDEX(Alimentos!$G$5:$G$40,MATCH($D189,Alimentos!$B$5:$B$40,0)))</f>
        <v/>
      </c>
      <c r="K189" s="23" t="str">
        <f aca="false">IF(G189="","",G189/100*INDEX(Alimentos!$H$5:$H$40,MATCH($D189,Alimentos!$B$5:$B$40,0)))</f>
        <v/>
      </c>
      <c r="L189" s="24" t="str">
        <f aca="false">IF(OR(A189="",B189=""),"",Perfil!$C$13+(A189-1)*7+MATCH(B189,{"Lunes","Martes","Miércoles","Jueves","Viernes","Sábado","Domingo"},0)-1)</f>
        <v/>
      </c>
    </row>
    <row r="190" customFormat="false" ht="15" hidden="false" customHeight="false" outlineLevel="0" collapsed="false">
      <c r="G190" s="23" t="str">
        <f aca="false">IF(OR(D190="",E190=""),"",E190*IFERROR(VLOOKUP(F190,Perfil!$B$19:$C$24,2,0),1))</f>
        <v/>
      </c>
      <c r="H190" s="23" t="str">
        <f aca="false">IF(G190="","",G190/100*INDEX(Alimentos!$E$5:$E$40,MATCH($D190,Alimentos!$B$5:$B$40,0)))</f>
        <v/>
      </c>
      <c r="I190" s="23" t="str">
        <f aca="false">IF(G190="","",G190/100*INDEX(Alimentos!$F$5:$F$40,MATCH($D190,Alimentos!$B$5:$B$40,0)))</f>
        <v/>
      </c>
      <c r="J190" s="23" t="str">
        <f aca="false">IF(G190="","",G190/100*INDEX(Alimentos!$G$5:$G$40,MATCH($D190,Alimentos!$B$5:$B$40,0)))</f>
        <v/>
      </c>
      <c r="K190" s="23" t="str">
        <f aca="false">IF(G190="","",G190/100*INDEX(Alimentos!$H$5:$H$40,MATCH($D190,Alimentos!$B$5:$B$40,0)))</f>
        <v/>
      </c>
      <c r="L190" s="24" t="str">
        <f aca="false">IF(OR(A190="",B190=""),"",Perfil!$C$13+(A190-1)*7+MATCH(B190,{"Lunes","Martes","Miércoles","Jueves","Viernes","Sábado","Domingo"},0)-1)</f>
        <v/>
      </c>
    </row>
    <row r="191" customFormat="false" ht="15" hidden="false" customHeight="false" outlineLevel="0" collapsed="false">
      <c r="G191" s="23" t="str">
        <f aca="false">IF(OR(D191="",E191=""),"",E191*IFERROR(VLOOKUP(F191,Perfil!$B$19:$C$24,2,0),1))</f>
        <v/>
      </c>
      <c r="H191" s="23" t="str">
        <f aca="false">IF(G191="","",G191/100*INDEX(Alimentos!$E$5:$E$40,MATCH($D191,Alimentos!$B$5:$B$40,0)))</f>
        <v/>
      </c>
      <c r="I191" s="23" t="str">
        <f aca="false">IF(G191="","",G191/100*INDEX(Alimentos!$F$5:$F$40,MATCH($D191,Alimentos!$B$5:$B$40,0)))</f>
        <v/>
      </c>
      <c r="J191" s="23" t="str">
        <f aca="false">IF(G191="","",G191/100*INDEX(Alimentos!$G$5:$G$40,MATCH($D191,Alimentos!$B$5:$B$40,0)))</f>
        <v/>
      </c>
      <c r="K191" s="23" t="str">
        <f aca="false">IF(G191="","",G191/100*INDEX(Alimentos!$H$5:$H$40,MATCH($D191,Alimentos!$B$5:$B$40,0)))</f>
        <v/>
      </c>
      <c r="L191" s="24" t="str">
        <f aca="false">IF(OR(A191="",B191=""),"",Perfil!$C$13+(A191-1)*7+MATCH(B191,{"Lunes","Martes","Miércoles","Jueves","Viernes","Sábado","Domingo"},0)-1)</f>
        <v/>
      </c>
    </row>
    <row r="192" customFormat="false" ht="15" hidden="false" customHeight="false" outlineLevel="0" collapsed="false">
      <c r="G192" s="23" t="str">
        <f aca="false">IF(OR(D192="",E192=""),"",E192*IFERROR(VLOOKUP(F192,Perfil!$B$19:$C$24,2,0),1))</f>
        <v/>
      </c>
      <c r="H192" s="23" t="str">
        <f aca="false">IF(G192="","",G192/100*INDEX(Alimentos!$E$5:$E$40,MATCH($D192,Alimentos!$B$5:$B$40,0)))</f>
        <v/>
      </c>
      <c r="I192" s="23" t="str">
        <f aca="false">IF(G192="","",G192/100*INDEX(Alimentos!$F$5:$F$40,MATCH($D192,Alimentos!$B$5:$B$40,0)))</f>
        <v/>
      </c>
      <c r="J192" s="23" t="str">
        <f aca="false">IF(G192="","",G192/100*INDEX(Alimentos!$G$5:$G$40,MATCH($D192,Alimentos!$B$5:$B$40,0)))</f>
        <v/>
      </c>
      <c r="K192" s="23" t="str">
        <f aca="false">IF(G192="","",G192/100*INDEX(Alimentos!$H$5:$H$40,MATCH($D192,Alimentos!$B$5:$B$40,0)))</f>
        <v/>
      </c>
      <c r="L192" s="24" t="str">
        <f aca="false">IF(OR(A192="",B192=""),"",Perfil!$C$13+(A192-1)*7+MATCH(B192,{"Lunes","Martes","Miércoles","Jueves","Viernes","Sábado","Domingo"},0)-1)</f>
        <v/>
      </c>
    </row>
    <row r="193" customFormat="false" ht="15" hidden="false" customHeight="false" outlineLevel="0" collapsed="false">
      <c r="G193" s="23" t="str">
        <f aca="false">IF(OR(D193="",E193=""),"",E193*IFERROR(VLOOKUP(F193,Perfil!$B$19:$C$24,2,0),1))</f>
        <v/>
      </c>
      <c r="H193" s="23" t="str">
        <f aca="false">IF(G193="","",G193/100*INDEX(Alimentos!$E$5:$E$40,MATCH($D193,Alimentos!$B$5:$B$40,0)))</f>
        <v/>
      </c>
      <c r="I193" s="23" t="str">
        <f aca="false">IF(G193="","",G193/100*INDEX(Alimentos!$F$5:$F$40,MATCH($D193,Alimentos!$B$5:$B$40,0)))</f>
        <v/>
      </c>
      <c r="J193" s="23" t="str">
        <f aca="false">IF(G193="","",G193/100*INDEX(Alimentos!$G$5:$G$40,MATCH($D193,Alimentos!$B$5:$B$40,0)))</f>
        <v/>
      </c>
      <c r="K193" s="23" t="str">
        <f aca="false">IF(G193="","",G193/100*INDEX(Alimentos!$H$5:$H$40,MATCH($D193,Alimentos!$B$5:$B$40,0)))</f>
        <v/>
      </c>
      <c r="L193" s="24" t="str">
        <f aca="false">IF(OR(A193="",B193=""),"",Perfil!$C$13+(A193-1)*7+MATCH(B193,{"Lunes","Martes","Miércoles","Jueves","Viernes","Sábado","Domingo"},0)-1)</f>
        <v/>
      </c>
    </row>
    <row r="194" customFormat="false" ht="15" hidden="false" customHeight="false" outlineLevel="0" collapsed="false">
      <c r="G194" s="23" t="str">
        <f aca="false">IF(OR(D194="",E194=""),"",E194*IFERROR(VLOOKUP(F194,Perfil!$B$19:$C$24,2,0),1))</f>
        <v/>
      </c>
      <c r="H194" s="23" t="str">
        <f aca="false">IF(G194="","",G194/100*INDEX(Alimentos!$E$5:$E$40,MATCH($D194,Alimentos!$B$5:$B$40,0)))</f>
        <v/>
      </c>
      <c r="I194" s="23" t="str">
        <f aca="false">IF(G194="","",G194/100*INDEX(Alimentos!$F$5:$F$40,MATCH($D194,Alimentos!$B$5:$B$40,0)))</f>
        <v/>
      </c>
      <c r="J194" s="23" t="str">
        <f aca="false">IF(G194="","",G194/100*INDEX(Alimentos!$G$5:$G$40,MATCH($D194,Alimentos!$B$5:$B$40,0)))</f>
        <v/>
      </c>
      <c r="K194" s="23" t="str">
        <f aca="false">IF(G194="","",G194/100*INDEX(Alimentos!$H$5:$H$40,MATCH($D194,Alimentos!$B$5:$B$40,0)))</f>
        <v/>
      </c>
      <c r="L194" s="24" t="str">
        <f aca="false">IF(OR(A194="",B194=""),"",Perfil!$C$13+(A194-1)*7+MATCH(B194,{"Lunes","Martes","Miércoles","Jueves","Viernes","Sábado","Domingo"},0)-1)</f>
        <v/>
      </c>
    </row>
    <row r="195" customFormat="false" ht="15" hidden="false" customHeight="false" outlineLevel="0" collapsed="false">
      <c r="G195" s="23" t="str">
        <f aca="false">IF(OR(D195="",E195=""),"",E195*IFERROR(VLOOKUP(F195,Perfil!$B$19:$C$24,2,0),1))</f>
        <v/>
      </c>
      <c r="H195" s="23" t="str">
        <f aca="false">IF(G195="","",G195/100*INDEX(Alimentos!$E$5:$E$40,MATCH($D195,Alimentos!$B$5:$B$40,0)))</f>
        <v/>
      </c>
      <c r="I195" s="23" t="str">
        <f aca="false">IF(G195="","",G195/100*INDEX(Alimentos!$F$5:$F$40,MATCH($D195,Alimentos!$B$5:$B$40,0)))</f>
        <v/>
      </c>
      <c r="J195" s="23" t="str">
        <f aca="false">IF(G195="","",G195/100*INDEX(Alimentos!$G$5:$G$40,MATCH($D195,Alimentos!$B$5:$B$40,0)))</f>
        <v/>
      </c>
      <c r="K195" s="23" t="str">
        <f aca="false">IF(G195="","",G195/100*INDEX(Alimentos!$H$5:$H$40,MATCH($D195,Alimentos!$B$5:$B$40,0)))</f>
        <v/>
      </c>
      <c r="L195" s="24" t="str">
        <f aca="false">IF(OR(A195="",B195=""),"",Perfil!$C$13+(A195-1)*7+MATCH(B195,{"Lunes","Martes","Miércoles","Jueves","Viernes","Sábado","Domingo"},0)-1)</f>
        <v/>
      </c>
    </row>
    <row r="196" customFormat="false" ht="15" hidden="false" customHeight="false" outlineLevel="0" collapsed="false">
      <c r="G196" s="23" t="str">
        <f aca="false">IF(OR(D196="",E196=""),"",E196*IFERROR(VLOOKUP(F196,Perfil!$B$19:$C$24,2,0),1))</f>
        <v/>
      </c>
      <c r="H196" s="23" t="str">
        <f aca="false">IF(G196="","",G196/100*INDEX(Alimentos!$E$5:$E$40,MATCH($D196,Alimentos!$B$5:$B$40,0)))</f>
        <v/>
      </c>
      <c r="I196" s="23" t="str">
        <f aca="false">IF(G196="","",G196/100*INDEX(Alimentos!$F$5:$F$40,MATCH($D196,Alimentos!$B$5:$B$40,0)))</f>
        <v/>
      </c>
      <c r="J196" s="23" t="str">
        <f aca="false">IF(G196="","",G196/100*INDEX(Alimentos!$G$5:$G$40,MATCH($D196,Alimentos!$B$5:$B$40,0)))</f>
        <v/>
      </c>
      <c r="K196" s="23" t="str">
        <f aca="false">IF(G196="","",G196/100*INDEX(Alimentos!$H$5:$H$40,MATCH($D196,Alimentos!$B$5:$B$40,0)))</f>
        <v/>
      </c>
      <c r="L196" s="24" t="str">
        <f aca="false">IF(OR(A196="",B196=""),"",Perfil!$C$13+(A196-1)*7+MATCH(B196,{"Lunes","Martes","Miércoles","Jueves","Viernes","Sábado","Domingo"},0)-1)</f>
        <v/>
      </c>
    </row>
    <row r="197" customFormat="false" ht="15" hidden="false" customHeight="false" outlineLevel="0" collapsed="false">
      <c r="G197" s="23" t="str">
        <f aca="false">IF(OR(D197="",E197=""),"",E197*IFERROR(VLOOKUP(F197,Perfil!$B$19:$C$24,2,0),1))</f>
        <v/>
      </c>
      <c r="H197" s="23" t="str">
        <f aca="false">IF(G197="","",G197/100*INDEX(Alimentos!$E$5:$E$40,MATCH($D197,Alimentos!$B$5:$B$40,0)))</f>
        <v/>
      </c>
      <c r="I197" s="23" t="str">
        <f aca="false">IF(G197="","",G197/100*INDEX(Alimentos!$F$5:$F$40,MATCH($D197,Alimentos!$B$5:$B$40,0)))</f>
        <v/>
      </c>
      <c r="J197" s="23" t="str">
        <f aca="false">IF(G197="","",G197/100*INDEX(Alimentos!$G$5:$G$40,MATCH($D197,Alimentos!$B$5:$B$40,0)))</f>
        <v/>
      </c>
      <c r="K197" s="23" t="str">
        <f aca="false">IF(G197="","",G197/100*INDEX(Alimentos!$H$5:$H$40,MATCH($D197,Alimentos!$B$5:$B$40,0)))</f>
        <v/>
      </c>
      <c r="L197" s="24" t="str">
        <f aca="false">IF(OR(A197="",B197=""),"",Perfil!$C$13+(A197-1)*7+MATCH(B197,{"Lunes","Martes","Miércoles","Jueves","Viernes","Sábado","Domingo"},0)-1)</f>
        <v/>
      </c>
    </row>
    <row r="198" customFormat="false" ht="15" hidden="false" customHeight="false" outlineLevel="0" collapsed="false">
      <c r="G198" s="23" t="str">
        <f aca="false">IF(OR(D198="",E198=""),"",E198*IFERROR(VLOOKUP(F198,Perfil!$B$19:$C$24,2,0),1))</f>
        <v/>
      </c>
      <c r="H198" s="23" t="str">
        <f aca="false">IF(G198="","",G198/100*INDEX(Alimentos!$E$5:$E$40,MATCH($D198,Alimentos!$B$5:$B$40,0)))</f>
        <v/>
      </c>
      <c r="I198" s="23" t="str">
        <f aca="false">IF(G198="","",G198/100*INDEX(Alimentos!$F$5:$F$40,MATCH($D198,Alimentos!$B$5:$B$40,0)))</f>
        <v/>
      </c>
      <c r="J198" s="23" t="str">
        <f aca="false">IF(G198="","",G198/100*INDEX(Alimentos!$G$5:$G$40,MATCH($D198,Alimentos!$B$5:$B$40,0)))</f>
        <v/>
      </c>
      <c r="K198" s="23" t="str">
        <f aca="false">IF(G198="","",G198/100*INDEX(Alimentos!$H$5:$H$40,MATCH($D198,Alimentos!$B$5:$B$40,0)))</f>
        <v/>
      </c>
      <c r="L198" s="24" t="str">
        <f aca="false">IF(OR(A198="",B198=""),"",Perfil!$C$13+(A198-1)*7+MATCH(B198,{"Lunes","Martes","Miércoles","Jueves","Viernes","Sábado","Domingo"},0)-1)</f>
        <v/>
      </c>
    </row>
    <row r="199" customFormat="false" ht="15" hidden="false" customHeight="false" outlineLevel="0" collapsed="false">
      <c r="G199" s="23" t="str">
        <f aca="false">IF(OR(D199="",E199=""),"",E199*IFERROR(VLOOKUP(F199,Perfil!$B$19:$C$24,2,0),1))</f>
        <v/>
      </c>
      <c r="H199" s="23" t="str">
        <f aca="false">IF(G199="","",G199/100*INDEX(Alimentos!$E$5:$E$40,MATCH($D199,Alimentos!$B$5:$B$40,0)))</f>
        <v/>
      </c>
      <c r="I199" s="23" t="str">
        <f aca="false">IF(G199="","",G199/100*INDEX(Alimentos!$F$5:$F$40,MATCH($D199,Alimentos!$B$5:$B$40,0)))</f>
        <v/>
      </c>
      <c r="J199" s="23" t="str">
        <f aca="false">IF(G199="","",G199/100*INDEX(Alimentos!$G$5:$G$40,MATCH($D199,Alimentos!$B$5:$B$40,0)))</f>
        <v/>
      </c>
      <c r="K199" s="23" t="str">
        <f aca="false">IF(G199="","",G199/100*INDEX(Alimentos!$H$5:$H$40,MATCH($D199,Alimentos!$B$5:$B$40,0)))</f>
        <v/>
      </c>
      <c r="L199" s="24" t="str">
        <f aca="false">IF(OR(A199="",B199=""),"",Perfil!$C$13+(A199-1)*7+MATCH(B199,{"Lunes","Martes","Miércoles","Jueves","Viernes","Sábado","Domingo"},0)-1)</f>
        <v/>
      </c>
    </row>
    <row r="200" customFormat="false" ht="15" hidden="false" customHeight="false" outlineLevel="0" collapsed="false">
      <c r="G200" s="23" t="str">
        <f aca="false">IF(OR(D200="",E200=""),"",E200*IFERROR(VLOOKUP(F200,Perfil!$B$19:$C$24,2,0),1))</f>
        <v/>
      </c>
      <c r="H200" s="23" t="str">
        <f aca="false">IF(G200="","",G200/100*INDEX(Alimentos!$E$5:$E$40,MATCH($D200,Alimentos!$B$5:$B$40,0)))</f>
        <v/>
      </c>
      <c r="I200" s="23" t="str">
        <f aca="false">IF(G200="","",G200/100*INDEX(Alimentos!$F$5:$F$40,MATCH($D200,Alimentos!$B$5:$B$40,0)))</f>
        <v/>
      </c>
      <c r="J200" s="23" t="str">
        <f aca="false">IF(G200="","",G200/100*INDEX(Alimentos!$G$5:$G$40,MATCH($D200,Alimentos!$B$5:$B$40,0)))</f>
        <v/>
      </c>
      <c r="K200" s="23" t="str">
        <f aca="false">IF(G200="","",G200/100*INDEX(Alimentos!$H$5:$H$40,MATCH($D200,Alimentos!$B$5:$B$40,0)))</f>
        <v/>
      </c>
      <c r="L200" s="24" t="str">
        <f aca="false">IF(OR(A200="",B200=""),"",Perfil!$C$13+(A200-1)*7+MATCH(B200,{"Lunes","Martes","Miércoles","Jueves","Viernes","Sábado","Domingo"},0)-1)</f>
        <v/>
      </c>
    </row>
    <row r="201" customFormat="false" ht="15" hidden="false" customHeight="false" outlineLevel="0" collapsed="false">
      <c r="G201" s="23" t="str">
        <f aca="false">IF(OR(D201="",E201=""),"",E201*IFERROR(VLOOKUP(F201,Perfil!$B$19:$C$24,2,0),1))</f>
        <v/>
      </c>
      <c r="H201" s="23" t="str">
        <f aca="false">IF(G201="","",G201/100*INDEX(Alimentos!$E$5:$E$40,MATCH($D201,Alimentos!$B$5:$B$40,0)))</f>
        <v/>
      </c>
      <c r="I201" s="23" t="str">
        <f aca="false">IF(G201="","",G201/100*INDEX(Alimentos!$F$5:$F$40,MATCH($D201,Alimentos!$B$5:$B$40,0)))</f>
        <v/>
      </c>
      <c r="J201" s="23" t="str">
        <f aca="false">IF(G201="","",G201/100*INDEX(Alimentos!$G$5:$G$40,MATCH($D201,Alimentos!$B$5:$B$40,0)))</f>
        <v/>
      </c>
      <c r="K201" s="23" t="str">
        <f aca="false">IF(G201="","",G201/100*INDEX(Alimentos!$H$5:$H$40,MATCH($D201,Alimentos!$B$5:$B$40,0)))</f>
        <v/>
      </c>
      <c r="L201" s="24" t="str">
        <f aca="false">IF(OR(A201="",B201=""),"",Perfil!$C$13+(A201-1)*7+MATCH(B201,{"Lunes","Martes","Miércoles","Jueves","Viernes","Sábado","Domingo"},0)-1)</f>
        <v/>
      </c>
    </row>
    <row r="202" customFormat="false" ht="15" hidden="false" customHeight="false" outlineLevel="0" collapsed="false">
      <c r="G202" s="23" t="str">
        <f aca="false">IF(OR(D202="",E202=""),"",E202*IFERROR(VLOOKUP(F202,Perfil!$B$19:$C$24,2,0),1))</f>
        <v/>
      </c>
      <c r="H202" s="23" t="str">
        <f aca="false">IF(G202="","",G202/100*INDEX(Alimentos!$E$5:$E$40,MATCH($D202,Alimentos!$B$5:$B$40,0)))</f>
        <v/>
      </c>
      <c r="I202" s="23" t="str">
        <f aca="false">IF(G202="","",G202/100*INDEX(Alimentos!$F$5:$F$40,MATCH($D202,Alimentos!$B$5:$B$40,0)))</f>
        <v/>
      </c>
      <c r="J202" s="23" t="str">
        <f aca="false">IF(G202="","",G202/100*INDEX(Alimentos!$G$5:$G$40,MATCH($D202,Alimentos!$B$5:$B$40,0)))</f>
        <v/>
      </c>
      <c r="K202" s="23" t="str">
        <f aca="false">IF(G202="","",G202/100*INDEX(Alimentos!$H$5:$H$40,MATCH($D202,Alimentos!$B$5:$B$40,0)))</f>
        <v/>
      </c>
      <c r="L202" s="24" t="str">
        <f aca="false">IF(OR(A202="",B202=""),"",Perfil!$C$13+(A202-1)*7+MATCH(B202,{"Lunes","Martes","Miércoles","Jueves","Viernes","Sábado","Domingo"},0)-1)</f>
        <v/>
      </c>
    </row>
    <row r="203" customFormat="false" ht="15" hidden="false" customHeight="false" outlineLevel="0" collapsed="false">
      <c r="G203" s="23" t="str">
        <f aca="false">IF(OR(D203="",E203=""),"",E203*IFERROR(VLOOKUP(F203,Perfil!$B$19:$C$24,2,0),1))</f>
        <v/>
      </c>
      <c r="H203" s="23" t="str">
        <f aca="false">IF(G203="","",G203/100*INDEX(Alimentos!$E$5:$E$40,MATCH($D203,Alimentos!$B$5:$B$40,0)))</f>
        <v/>
      </c>
      <c r="I203" s="23" t="str">
        <f aca="false">IF(G203="","",G203/100*INDEX(Alimentos!$F$5:$F$40,MATCH($D203,Alimentos!$B$5:$B$40,0)))</f>
        <v/>
      </c>
      <c r="J203" s="23" t="str">
        <f aca="false">IF(G203="","",G203/100*INDEX(Alimentos!$G$5:$G$40,MATCH($D203,Alimentos!$B$5:$B$40,0)))</f>
        <v/>
      </c>
      <c r="K203" s="23" t="str">
        <f aca="false">IF(G203="","",G203/100*INDEX(Alimentos!$H$5:$H$40,MATCH($D203,Alimentos!$B$5:$B$40,0)))</f>
        <v/>
      </c>
      <c r="L203" s="24" t="str">
        <f aca="false">IF(OR(A203="",B203=""),"",Perfil!$C$13+(A203-1)*7+MATCH(B203,{"Lunes","Martes","Miércoles","Jueves","Viernes","Sábado","Domingo"},0)-1)</f>
        <v/>
      </c>
    </row>
    <row r="204" customFormat="false" ht="15" hidden="false" customHeight="false" outlineLevel="0" collapsed="false">
      <c r="G204" s="23" t="str">
        <f aca="false">IF(OR(D204="",E204=""),"",E204*IFERROR(VLOOKUP(F204,Perfil!$B$19:$C$24,2,0),1))</f>
        <v/>
      </c>
      <c r="H204" s="23" t="str">
        <f aca="false">IF(G204="","",G204/100*INDEX(Alimentos!$E$5:$E$40,MATCH($D204,Alimentos!$B$5:$B$40,0)))</f>
        <v/>
      </c>
      <c r="I204" s="23" t="str">
        <f aca="false">IF(G204="","",G204/100*INDEX(Alimentos!$F$5:$F$40,MATCH($D204,Alimentos!$B$5:$B$40,0)))</f>
        <v/>
      </c>
      <c r="J204" s="23" t="str">
        <f aca="false">IF(G204="","",G204/100*INDEX(Alimentos!$G$5:$G$40,MATCH($D204,Alimentos!$B$5:$B$40,0)))</f>
        <v/>
      </c>
      <c r="K204" s="23" t="str">
        <f aca="false">IF(G204="","",G204/100*INDEX(Alimentos!$H$5:$H$40,MATCH($D204,Alimentos!$B$5:$B$40,0)))</f>
        <v/>
      </c>
      <c r="L204" s="24" t="str">
        <f aca="false">IF(OR(A204="",B204=""),"",Perfil!$C$13+(A204-1)*7+MATCH(B204,{"Lunes","Martes","Miércoles","Jueves","Viernes","Sábado","Domingo"},0)-1)</f>
        <v/>
      </c>
    </row>
    <row r="205" customFormat="false" ht="15" hidden="false" customHeight="false" outlineLevel="0" collapsed="false">
      <c r="G205" s="23" t="str">
        <f aca="false">IF(OR(D205="",E205=""),"",E205*IFERROR(VLOOKUP(F205,Perfil!$B$19:$C$24,2,0),1))</f>
        <v/>
      </c>
      <c r="H205" s="23" t="str">
        <f aca="false">IF(G205="","",G205/100*INDEX(Alimentos!$E$5:$E$40,MATCH($D205,Alimentos!$B$5:$B$40,0)))</f>
        <v/>
      </c>
      <c r="I205" s="23" t="str">
        <f aca="false">IF(G205="","",G205/100*INDEX(Alimentos!$F$5:$F$40,MATCH($D205,Alimentos!$B$5:$B$40,0)))</f>
        <v/>
      </c>
      <c r="J205" s="23" t="str">
        <f aca="false">IF(G205="","",G205/100*INDEX(Alimentos!$G$5:$G$40,MATCH($D205,Alimentos!$B$5:$B$40,0)))</f>
        <v/>
      </c>
      <c r="K205" s="23" t="str">
        <f aca="false">IF(G205="","",G205/100*INDEX(Alimentos!$H$5:$H$40,MATCH($D205,Alimentos!$B$5:$B$40,0)))</f>
        <v/>
      </c>
      <c r="L205" s="24" t="str">
        <f aca="false">IF(OR(A205="",B205=""),"",Perfil!$C$13+(A205-1)*7+MATCH(B205,{"Lunes","Martes","Miércoles","Jueves","Viernes","Sábado","Domingo"},0)-1)</f>
        <v/>
      </c>
    </row>
    <row r="206" customFormat="false" ht="15" hidden="false" customHeight="false" outlineLevel="0" collapsed="false">
      <c r="G206" s="23" t="str">
        <f aca="false">IF(OR(D206="",E206=""),"",E206*IFERROR(VLOOKUP(F206,Perfil!$B$19:$C$24,2,0),1))</f>
        <v/>
      </c>
      <c r="H206" s="23" t="str">
        <f aca="false">IF(G206="","",G206/100*INDEX(Alimentos!$E$5:$E$40,MATCH($D206,Alimentos!$B$5:$B$40,0)))</f>
        <v/>
      </c>
      <c r="I206" s="23" t="str">
        <f aca="false">IF(G206="","",G206/100*INDEX(Alimentos!$F$5:$F$40,MATCH($D206,Alimentos!$B$5:$B$40,0)))</f>
        <v/>
      </c>
      <c r="J206" s="23" t="str">
        <f aca="false">IF(G206="","",G206/100*INDEX(Alimentos!$G$5:$G$40,MATCH($D206,Alimentos!$B$5:$B$40,0)))</f>
        <v/>
      </c>
      <c r="K206" s="23" t="str">
        <f aca="false">IF(G206="","",G206/100*INDEX(Alimentos!$H$5:$H$40,MATCH($D206,Alimentos!$B$5:$B$40,0)))</f>
        <v/>
      </c>
      <c r="L206" s="24" t="str">
        <f aca="false">IF(OR(A206="",B206=""),"",Perfil!$C$13+(A206-1)*7+MATCH(B206,{"Lunes","Martes","Miércoles","Jueves","Viernes","Sábado","Domingo"},0)-1)</f>
        <v/>
      </c>
    </row>
    <row r="207" customFormat="false" ht="15" hidden="false" customHeight="false" outlineLevel="0" collapsed="false">
      <c r="G207" s="23" t="str">
        <f aca="false">IF(OR(D207="",E207=""),"",E207*IFERROR(VLOOKUP(F207,Perfil!$B$19:$C$24,2,0),1))</f>
        <v/>
      </c>
      <c r="H207" s="23" t="str">
        <f aca="false">IF(G207="","",G207/100*INDEX(Alimentos!$E$5:$E$40,MATCH($D207,Alimentos!$B$5:$B$40,0)))</f>
        <v/>
      </c>
      <c r="I207" s="23" t="str">
        <f aca="false">IF(G207="","",G207/100*INDEX(Alimentos!$F$5:$F$40,MATCH($D207,Alimentos!$B$5:$B$40,0)))</f>
        <v/>
      </c>
      <c r="J207" s="23" t="str">
        <f aca="false">IF(G207="","",G207/100*INDEX(Alimentos!$G$5:$G$40,MATCH($D207,Alimentos!$B$5:$B$40,0)))</f>
        <v/>
      </c>
      <c r="K207" s="23" t="str">
        <f aca="false">IF(G207="","",G207/100*INDEX(Alimentos!$H$5:$H$40,MATCH($D207,Alimentos!$B$5:$B$40,0)))</f>
        <v/>
      </c>
      <c r="L207" s="24" t="str">
        <f aca="false">IF(OR(A207="",B207=""),"",Perfil!$C$13+(A207-1)*7+MATCH(B207,{"Lunes","Martes","Miércoles","Jueves","Viernes","Sábado","Domingo"},0)-1)</f>
        <v/>
      </c>
    </row>
    <row r="208" customFormat="false" ht="15" hidden="false" customHeight="false" outlineLevel="0" collapsed="false">
      <c r="G208" s="23" t="str">
        <f aca="false">IF(OR(D208="",E208=""),"",E208*IFERROR(VLOOKUP(F208,Perfil!$B$19:$C$24,2,0),1))</f>
        <v/>
      </c>
      <c r="H208" s="23" t="str">
        <f aca="false">IF(G208="","",G208/100*INDEX(Alimentos!$E$5:$E$40,MATCH($D208,Alimentos!$B$5:$B$40,0)))</f>
        <v/>
      </c>
      <c r="I208" s="23" t="str">
        <f aca="false">IF(G208="","",G208/100*INDEX(Alimentos!$F$5:$F$40,MATCH($D208,Alimentos!$B$5:$B$40,0)))</f>
        <v/>
      </c>
      <c r="J208" s="23" t="str">
        <f aca="false">IF(G208="","",G208/100*INDEX(Alimentos!$G$5:$G$40,MATCH($D208,Alimentos!$B$5:$B$40,0)))</f>
        <v/>
      </c>
      <c r="K208" s="23" t="str">
        <f aca="false">IF(G208="","",G208/100*INDEX(Alimentos!$H$5:$H$40,MATCH($D208,Alimentos!$B$5:$B$40,0)))</f>
        <v/>
      </c>
      <c r="L208" s="24" t="str">
        <f aca="false">IF(OR(A208="",B208=""),"",Perfil!$C$13+(A208-1)*7+MATCH(B208,{"Lunes","Martes","Miércoles","Jueves","Viernes","Sábado","Domingo"},0)-1)</f>
        <v/>
      </c>
    </row>
    <row r="209" customFormat="false" ht="15" hidden="false" customHeight="false" outlineLevel="0" collapsed="false">
      <c r="G209" s="23" t="str">
        <f aca="false">IF(OR(D209="",E209=""),"",E209*IFERROR(VLOOKUP(F209,Perfil!$B$19:$C$24,2,0),1))</f>
        <v/>
      </c>
      <c r="H209" s="23" t="str">
        <f aca="false">IF(G209="","",G209/100*INDEX(Alimentos!$E$5:$E$40,MATCH($D209,Alimentos!$B$5:$B$40,0)))</f>
        <v/>
      </c>
      <c r="I209" s="23" t="str">
        <f aca="false">IF(G209="","",G209/100*INDEX(Alimentos!$F$5:$F$40,MATCH($D209,Alimentos!$B$5:$B$40,0)))</f>
        <v/>
      </c>
      <c r="J209" s="23" t="str">
        <f aca="false">IF(G209="","",G209/100*INDEX(Alimentos!$G$5:$G$40,MATCH($D209,Alimentos!$B$5:$B$40,0)))</f>
        <v/>
      </c>
      <c r="K209" s="23" t="str">
        <f aca="false">IF(G209="","",G209/100*INDEX(Alimentos!$H$5:$H$40,MATCH($D209,Alimentos!$B$5:$B$40,0)))</f>
        <v/>
      </c>
      <c r="L209" s="24" t="str">
        <f aca="false">IF(OR(A209="",B209=""),"",Perfil!$C$13+(A209-1)*7+MATCH(B209,{"Lunes","Martes","Miércoles","Jueves","Viernes","Sábado","Domingo"},0)-1)</f>
        <v/>
      </c>
    </row>
    <row r="210" customFormat="false" ht="15" hidden="false" customHeight="false" outlineLevel="0" collapsed="false">
      <c r="G210" s="23" t="str">
        <f aca="false">IF(OR(D210="",E210=""),"",E210*IFERROR(VLOOKUP(F210,Perfil!$B$19:$C$24,2,0),1))</f>
        <v/>
      </c>
      <c r="H210" s="23" t="str">
        <f aca="false">IF(G210="","",G210/100*INDEX(Alimentos!$E$5:$E$40,MATCH($D210,Alimentos!$B$5:$B$40,0)))</f>
        <v/>
      </c>
      <c r="I210" s="23" t="str">
        <f aca="false">IF(G210="","",G210/100*INDEX(Alimentos!$F$5:$F$40,MATCH($D210,Alimentos!$B$5:$B$40,0)))</f>
        <v/>
      </c>
      <c r="J210" s="23" t="str">
        <f aca="false">IF(G210="","",G210/100*INDEX(Alimentos!$G$5:$G$40,MATCH($D210,Alimentos!$B$5:$B$40,0)))</f>
        <v/>
      </c>
      <c r="K210" s="23" t="str">
        <f aca="false">IF(G210="","",G210/100*INDEX(Alimentos!$H$5:$H$40,MATCH($D210,Alimentos!$B$5:$B$40,0)))</f>
        <v/>
      </c>
      <c r="L210" s="24" t="str">
        <f aca="false">IF(OR(A210="",B210=""),"",Perfil!$C$13+(A210-1)*7+MATCH(B210,{"Lunes","Martes","Miércoles","Jueves","Viernes","Sábado","Domingo"},0)-1)</f>
        <v/>
      </c>
    </row>
    <row r="211" customFormat="false" ht="15" hidden="false" customHeight="false" outlineLevel="0" collapsed="false">
      <c r="G211" s="23" t="str">
        <f aca="false">IF(OR(D211="",E211=""),"",E211*IFERROR(VLOOKUP(F211,Perfil!$B$19:$C$24,2,0),1))</f>
        <v/>
      </c>
      <c r="H211" s="23" t="str">
        <f aca="false">IF(G211="","",G211/100*INDEX(Alimentos!$E$5:$E$40,MATCH($D211,Alimentos!$B$5:$B$40,0)))</f>
        <v/>
      </c>
      <c r="I211" s="23" t="str">
        <f aca="false">IF(G211="","",G211/100*INDEX(Alimentos!$F$5:$F$40,MATCH($D211,Alimentos!$B$5:$B$40,0)))</f>
        <v/>
      </c>
      <c r="J211" s="23" t="str">
        <f aca="false">IF(G211="","",G211/100*INDEX(Alimentos!$G$5:$G$40,MATCH($D211,Alimentos!$B$5:$B$40,0)))</f>
        <v/>
      </c>
      <c r="K211" s="23" t="str">
        <f aca="false">IF(G211="","",G211/100*INDEX(Alimentos!$H$5:$H$40,MATCH($D211,Alimentos!$B$5:$B$40,0)))</f>
        <v/>
      </c>
      <c r="L211" s="24" t="str">
        <f aca="false">IF(OR(A211="",B211=""),"",Perfil!$C$13+(A211-1)*7+MATCH(B211,{"Lunes","Martes","Miércoles","Jueves","Viernes","Sábado","Domingo"},0)-1)</f>
        <v/>
      </c>
    </row>
    <row r="212" customFormat="false" ht="15" hidden="false" customHeight="false" outlineLevel="0" collapsed="false">
      <c r="G212" s="23" t="str">
        <f aca="false">IF(OR(D212="",E212=""),"",E212*IFERROR(VLOOKUP(F212,Perfil!$B$19:$C$24,2,0),1))</f>
        <v/>
      </c>
      <c r="H212" s="23" t="str">
        <f aca="false">IF(G212="","",G212/100*INDEX(Alimentos!$E$5:$E$40,MATCH($D212,Alimentos!$B$5:$B$40,0)))</f>
        <v/>
      </c>
      <c r="I212" s="23" t="str">
        <f aca="false">IF(G212="","",G212/100*INDEX(Alimentos!$F$5:$F$40,MATCH($D212,Alimentos!$B$5:$B$40,0)))</f>
        <v/>
      </c>
      <c r="J212" s="23" t="str">
        <f aca="false">IF(G212="","",G212/100*INDEX(Alimentos!$G$5:$G$40,MATCH($D212,Alimentos!$B$5:$B$40,0)))</f>
        <v/>
      </c>
      <c r="K212" s="23" t="str">
        <f aca="false">IF(G212="","",G212/100*INDEX(Alimentos!$H$5:$H$40,MATCH($D212,Alimentos!$B$5:$B$40,0)))</f>
        <v/>
      </c>
      <c r="L212" s="24" t="str">
        <f aca="false">IF(OR(A212="",B212=""),"",Perfil!$C$13+(A212-1)*7+MATCH(B212,{"Lunes","Martes","Miércoles","Jueves","Viernes","Sábado","Domingo"},0)-1)</f>
        <v/>
      </c>
    </row>
    <row r="213" customFormat="false" ht="15" hidden="false" customHeight="false" outlineLevel="0" collapsed="false">
      <c r="G213" s="23" t="str">
        <f aca="false">IF(OR(D213="",E213=""),"",E213*IFERROR(VLOOKUP(F213,Perfil!$B$19:$C$24,2,0),1))</f>
        <v/>
      </c>
      <c r="H213" s="23" t="str">
        <f aca="false">IF(G213="","",G213/100*INDEX(Alimentos!$E$5:$E$40,MATCH($D213,Alimentos!$B$5:$B$40,0)))</f>
        <v/>
      </c>
      <c r="I213" s="23" t="str">
        <f aca="false">IF(G213="","",G213/100*INDEX(Alimentos!$F$5:$F$40,MATCH($D213,Alimentos!$B$5:$B$40,0)))</f>
        <v/>
      </c>
      <c r="J213" s="23" t="str">
        <f aca="false">IF(G213="","",G213/100*INDEX(Alimentos!$G$5:$G$40,MATCH($D213,Alimentos!$B$5:$B$40,0)))</f>
        <v/>
      </c>
      <c r="K213" s="23" t="str">
        <f aca="false">IF(G213="","",G213/100*INDEX(Alimentos!$H$5:$H$40,MATCH($D213,Alimentos!$B$5:$B$40,0)))</f>
        <v/>
      </c>
      <c r="L213" s="24" t="str">
        <f aca="false">IF(OR(A213="",B213=""),"",Perfil!$C$13+(A213-1)*7+MATCH(B213,{"Lunes","Martes","Miércoles","Jueves","Viernes","Sábado","Domingo"},0)-1)</f>
        <v/>
      </c>
    </row>
    <row r="214" customFormat="false" ht="15" hidden="false" customHeight="false" outlineLevel="0" collapsed="false">
      <c r="G214" s="23" t="str">
        <f aca="false">IF(OR(D214="",E214=""),"",E214*IFERROR(VLOOKUP(F214,Perfil!$B$19:$C$24,2,0),1))</f>
        <v/>
      </c>
      <c r="H214" s="23" t="str">
        <f aca="false">IF(G214="","",G214/100*INDEX(Alimentos!$E$5:$E$40,MATCH($D214,Alimentos!$B$5:$B$40,0)))</f>
        <v/>
      </c>
      <c r="I214" s="23" t="str">
        <f aca="false">IF(G214="","",G214/100*INDEX(Alimentos!$F$5:$F$40,MATCH($D214,Alimentos!$B$5:$B$40,0)))</f>
        <v/>
      </c>
      <c r="J214" s="23" t="str">
        <f aca="false">IF(G214="","",G214/100*INDEX(Alimentos!$G$5:$G$40,MATCH($D214,Alimentos!$B$5:$B$40,0)))</f>
        <v/>
      </c>
      <c r="K214" s="23" t="str">
        <f aca="false">IF(G214="","",G214/100*INDEX(Alimentos!$H$5:$H$40,MATCH($D214,Alimentos!$B$5:$B$40,0)))</f>
        <v/>
      </c>
      <c r="L214" s="24" t="str">
        <f aca="false">IF(OR(A214="",B214=""),"",Perfil!$C$13+(A214-1)*7+MATCH(B214,{"Lunes","Martes","Miércoles","Jueves","Viernes","Sábado","Domingo"},0)-1)</f>
        <v/>
      </c>
    </row>
    <row r="215" customFormat="false" ht="15" hidden="false" customHeight="false" outlineLevel="0" collapsed="false">
      <c r="G215" s="23" t="str">
        <f aca="false">IF(OR(D215="",E215=""),"",E215*IFERROR(VLOOKUP(F215,Perfil!$B$19:$C$24,2,0),1))</f>
        <v/>
      </c>
      <c r="H215" s="23" t="str">
        <f aca="false">IF(G215="","",G215/100*INDEX(Alimentos!$E$5:$E$40,MATCH($D215,Alimentos!$B$5:$B$40,0)))</f>
        <v/>
      </c>
      <c r="I215" s="23" t="str">
        <f aca="false">IF(G215="","",G215/100*INDEX(Alimentos!$F$5:$F$40,MATCH($D215,Alimentos!$B$5:$B$40,0)))</f>
        <v/>
      </c>
      <c r="J215" s="23" t="str">
        <f aca="false">IF(G215="","",G215/100*INDEX(Alimentos!$G$5:$G$40,MATCH($D215,Alimentos!$B$5:$B$40,0)))</f>
        <v/>
      </c>
      <c r="K215" s="23" t="str">
        <f aca="false">IF(G215="","",G215/100*INDEX(Alimentos!$H$5:$H$40,MATCH($D215,Alimentos!$B$5:$B$40,0)))</f>
        <v/>
      </c>
      <c r="L215" s="24" t="str">
        <f aca="false">IF(OR(A215="",B215=""),"",Perfil!$C$13+(A215-1)*7+MATCH(B215,{"Lunes","Martes","Miércoles","Jueves","Viernes","Sábado","Domingo"},0)-1)</f>
        <v/>
      </c>
    </row>
    <row r="216" customFormat="false" ht="15" hidden="false" customHeight="false" outlineLevel="0" collapsed="false">
      <c r="G216" s="23" t="str">
        <f aca="false">IF(OR(D216="",E216=""),"",E216*IFERROR(VLOOKUP(F216,Perfil!$B$19:$C$24,2,0),1))</f>
        <v/>
      </c>
      <c r="H216" s="23" t="str">
        <f aca="false">IF(G216="","",G216/100*INDEX(Alimentos!$E$5:$E$40,MATCH($D216,Alimentos!$B$5:$B$40,0)))</f>
        <v/>
      </c>
      <c r="I216" s="23" t="str">
        <f aca="false">IF(G216="","",G216/100*INDEX(Alimentos!$F$5:$F$40,MATCH($D216,Alimentos!$B$5:$B$40,0)))</f>
        <v/>
      </c>
      <c r="J216" s="23" t="str">
        <f aca="false">IF(G216="","",G216/100*INDEX(Alimentos!$G$5:$G$40,MATCH($D216,Alimentos!$B$5:$B$40,0)))</f>
        <v/>
      </c>
      <c r="K216" s="23" t="str">
        <f aca="false">IF(G216="","",G216/100*INDEX(Alimentos!$H$5:$H$40,MATCH($D216,Alimentos!$B$5:$B$40,0)))</f>
        <v/>
      </c>
      <c r="L216" s="24" t="str">
        <f aca="false">IF(OR(A216="",B216=""),"",Perfil!$C$13+(A216-1)*7+MATCH(B216,{"Lunes","Martes","Miércoles","Jueves","Viernes","Sábado","Domingo"},0)-1)</f>
        <v/>
      </c>
    </row>
    <row r="217" customFormat="false" ht="15" hidden="false" customHeight="false" outlineLevel="0" collapsed="false">
      <c r="G217" s="23" t="str">
        <f aca="false">IF(OR(D217="",E217=""),"",E217*IFERROR(VLOOKUP(F217,Perfil!$B$19:$C$24,2,0),1))</f>
        <v/>
      </c>
      <c r="H217" s="23" t="str">
        <f aca="false">IF(G217="","",G217/100*INDEX(Alimentos!$E$5:$E$40,MATCH($D217,Alimentos!$B$5:$B$40,0)))</f>
        <v/>
      </c>
      <c r="I217" s="23" t="str">
        <f aca="false">IF(G217="","",G217/100*INDEX(Alimentos!$F$5:$F$40,MATCH($D217,Alimentos!$B$5:$B$40,0)))</f>
        <v/>
      </c>
      <c r="J217" s="23" t="str">
        <f aca="false">IF(G217="","",G217/100*INDEX(Alimentos!$G$5:$G$40,MATCH($D217,Alimentos!$B$5:$B$40,0)))</f>
        <v/>
      </c>
      <c r="K217" s="23" t="str">
        <f aca="false">IF(G217="","",G217/100*INDEX(Alimentos!$H$5:$H$40,MATCH($D217,Alimentos!$B$5:$B$40,0)))</f>
        <v/>
      </c>
      <c r="L217" s="24" t="str">
        <f aca="false">IF(OR(A217="",B217=""),"",Perfil!$C$13+(A217-1)*7+MATCH(B217,{"Lunes","Martes","Miércoles","Jueves","Viernes","Sábado","Domingo"},0)-1)</f>
        <v/>
      </c>
    </row>
    <row r="218" customFormat="false" ht="15" hidden="false" customHeight="false" outlineLevel="0" collapsed="false">
      <c r="G218" s="23" t="str">
        <f aca="false">IF(OR(D218="",E218=""),"",E218*IFERROR(VLOOKUP(F218,Perfil!$B$19:$C$24,2,0),1))</f>
        <v/>
      </c>
      <c r="H218" s="23" t="str">
        <f aca="false">IF(G218="","",G218/100*INDEX(Alimentos!$E$5:$E$40,MATCH($D218,Alimentos!$B$5:$B$40,0)))</f>
        <v/>
      </c>
      <c r="I218" s="23" t="str">
        <f aca="false">IF(G218="","",G218/100*INDEX(Alimentos!$F$5:$F$40,MATCH($D218,Alimentos!$B$5:$B$40,0)))</f>
        <v/>
      </c>
      <c r="J218" s="23" t="str">
        <f aca="false">IF(G218="","",G218/100*INDEX(Alimentos!$G$5:$G$40,MATCH($D218,Alimentos!$B$5:$B$40,0)))</f>
        <v/>
      </c>
      <c r="K218" s="23" t="str">
        <f aca="false">IF(G218="","",G218/100*INDEX(Alimentos!$H$5:$H$40,MATCH($D218,Alimentos!$B$5:$B$40,0)))</f>
        <v/>
      </c>
      <c r="L218" s="24" t="str">
        <f aca="false">IF(OR(A218="",B218=""),"",Perfil!$C$13+(A218-1)*7+MATCH(B218,{"Lunes","Martes","Miércoles","Jueves","Viernes","Sábado","Domingo"},0)-1)</f>
        <v/>
      </c>
    </row>
    <row r="219" customFormat="false" ht="15" hidden="false" customHeight="false" outlineLevel="0" collapsed="false">
      <c r="G219" s="23" t="str">
        <f aca="false">IF(OR(D219="",E219=""),"",E219*IFERROR(VLOOKUP(F219,Perfil!$B$19:$C$24,2,0),1))</f>
        <v/>
      </c>
      <c r="H219" s="23" t="str">
        <f aca="false">IF(G219="","",G219/100*INDEX(Alimentos!$E$5:$E$40,MATCH($D219,Alimentos!$B$5:$B$40,0)))</f>
        <v/>
      </c>
      <c r="I219" s="23" t="str">
        <f aca="false">IF(G219="","",G219/100*INDEX(Alimentos!$F$5:$F$40,MATCH($D219,Alimentos!$B$5:$B$40,0)))</f>
        <v/>
      </c>
      <c r="J219" s="23" t="str">
        <f aca="false">IF(G219="","",G219/100*INDEX(Alimentos!$G$5:$G$40,MATCH($D219,Alimentos!$B$5:$B$40,0)))</f>
        <v/>
      </c>
      <c r="K219" s="23" t="str">
        <f aca="false">IF(G219="","",G219/100*INDEX(Alimentos!$H$5:$H$40,MATCH($D219,Alimentos!$B$5:$B$40,0)))</f>
        <v/>
      </c>
      <c r="L219" s="24" t="str">
        <f aca="false">IF(OR(A219="",B219=""),"",Perfil!$C$13+(A219-1)*7+MATCH(B219,{"Lunes","Martes","Miércoles","Jueves","Viernes","Sábado","Domingo"},0)-1)</f>
        <v/>
      </c>
    </row>
    <row r="220" customFormat="false" ht="15" hidden="false" customHeight="false" outlineLevel="0" collapsed="false">
      <c r="G220" s="23" t="str">
        <f aca="false">IF(OR(D220="",E220=""),"",E220*IFERROR(VLOOKUP(F220,Perfil!$B$19:$C$24,2,0),1))</f>
        <v/>
      </c>
      <c r="H220" s="23" t="str">
        <f aca="false">IF(G220="","",G220/100*INDEX(Alimentos!$E$5:$E$40,MATCH($D220,Alimentos!$B$5:$B$40,0)))</f>
        <v/>
      </c>
      <c r="I220" s="23" t="str">
        <f aca="false">IF(G220="","",G220/100*INDEX(Alimentos!$F$5:$F$40,MATCH($D220,Alimentos!$B$5:$B$40,0)))</f>
        <v/>
      </c>
      <c r="J220" s="23" t="str">
        <f aca="false">IF(G220="","",G220/100*INDEX(Alimentos!$G$5:$G$40,MATCH($D220,Alimentos!$B$5:$B$40,0)))</f>
        <v/>
      </c>
      <c r="K220" s="23" t="str">
        <f aca="false">IF(G220="","",G220/100*INDEX(Alimentos!$H$5:$H$40,MATCH($D220,Alimentos!$B$5:$B$40,0)))</f>
        <v/>
      </c>
      <c r="L220" s="24" t="str">
        <f aca="false">IF(OR(A220="",B220=""),"",Perfil!$C$13+(A220-1)*7+MATCH(B220,{"Lunes","Martes","Miércoles","Jueves","Viernes","Sábado","Domingo"},0)-1)</f>
        <v/>
      </c>
    </row>
    <row r="221" customFormat="false" ht="15" hidden="false" customHeight="false" outlineLevel="0" collapsed="false">
      <c r="G221" s="23" t="str">
        <f aca="false">IF(OR(D221="",E221=""),"",E221*IFERROR(VLOOKUP(F221,Perfil!$B$19:$C$24,2,0),1))</f>
        <v/>
      </c>
      <c r="H221" s="23" t="str">
        <f aca="false">IF(G221="","",G221/100*INDEX(Alimentos!$E$5:$E$40,MATCH($D221,Alimentos!$B$5:$B$40,0)))</f>
        <v/>
      </c>
      <c r="I221" s="23" t="str">
        <f aca="false">IF(G221="","",G221/100*INDEX(Alimentos!$F$5:$F$40,MATCH($D221,Alimentos!$B$5:$B$40,0)))</f>
        <v/>
      </c>
      <c r="J221" s="23" t="str">
        <f aca="false">IF(G221="","",G221/100*INDEX(Alimentos!$G$5:$G$40,MATCH($D221,Alimentos!$B$5:$B$40,0)))</f>
        <v/>
      </c>
      <c r="K221" s="23" t="str">
        <f aca="false">IF(G221="","",G221/100*INDEX(Alimentos!$H$5:$H$40,MATCH($D221,Alimentos!$B$5:$B$40,0)))</f>
        <v/>
      </c>
      <c r="L221" s="24" t="str">
        <f aca="false">IF(OR(A221="",B221=""),"",Perfil!$C$13+(A221-1)*7+MATCH(B221,{"Lunes","Martes","Miércoles","Jueves","Viernes","Sábado","Domingo"},0)-1)</f>
        <v/>
      </c>
    </row>
    <row r="222" customFormat="false" ht="15" hidden="false" customHeight="false" outlineLevel="0" collapsed="false">
      <c r="G222" s="23" t="str">
        <f aca="false">IF(OR(D222="",E222=""),"",E222*IFERROR(VLOOKUP(F222,Perfil!$B$19:$C$24,2,0),1))</f>
        <v/>
      </c>
      <c r="H222" s="23" t="str">
        <f aca="false">IF(G222="","",G222/100*INDEX(Alimentos!$E$5:$E$40,MATCH($D222,Alimentos!$B$5:$B$40,0)))</f>
        <v/>
      </c>
      <c r="I222" s="23" t="str">
        <f aca="false">IF(G222="","",G222/100*INDEX(Alimentos!$F$5:$F$40,MATCH($D222,Alimentos!$B$5:$B$40,0)))</f>
        <v/>
      </c>
      <c r="J222" s="23" t="str">
        <f aca="false">IF(G222="","",G222/100*INDEX(Alimentos!$G$5:$G$40,MATCH($D222,Alimentos!$B$5:$B$40,0)))</f>
        <v/>
      </c>
      <c r="K222" s="23" t="str">
        <f aca="false">IF(G222="","",G222/100*INDEX(Alimentos!$H$5:$H$40,MATCH($D222,Alimentos!$B$5:$B$40,0)))</f>
        <v/>
      </c>
      <c r="L222" s="24" t="str">
        <f aca="false">IF(OR(A222="",B222=""),"",Perfil!$C$13+(A222-1)*7+MATCH(B222,{"Lunes","Martes","Miércoles","Jueves","Viernes","Sábado","Domingo"},0)-1)</f>
        <v/>
      </c>
    </row>
    <row r="223" customFormat="false" ht="15" hidden="false" customHeight="false" outlineLevel="0" collapsed="false">
      <c r="G223" s="23" t="str">
        <f aca="false">IF(OR(D223="",E223=""),"",E223*IFERROR(VLOOKUP(F223,Perfil!$B$19:$C$24,2,0),1))</f>
        <v/>
      </c>
      <c r="H223" s="23" t="str">
        <f aca="false">IF(G223="","",G223/100*INDEX(Alimentos!$E$5:$E$40,MATCH($D223,Alimentos!$B$5:$B$40,0)))</f>
        <v/>
      </c>
      <c r="I223" s="23" t="str">
        <f aca="false">IF(G223="","",G223/100*INDEX(Alimentos!$F$5:$F$40,MATCH($D223,Alimentos!$B$5:$B$40,0)))</f>
        <v/>
      </c>
      <c r="J223" s="23" t="str">
        <f aca="false">IF(G223="","",G223/100*INDEX(Alimentos!$G$5:$G$40,MATCH($D223,Alimentos!$B$5:$B$40,0)))</f>
        <v/>
      </c>
      <c r="K223" s="23" t="str">
        <f aca="false">IF(G223="","",G223/100*INDEX(Alimentos!$H$5:$H$40,MATCH($D223,Alimentos!$B$5:$B$40,0)))</f>
        <v/>
      </c>
      <c r="L223" s="24" t="str">
        <f aca="false">IF(OR(A223="",B223=""),"",Perfil!$C$13+(A223-1)*7+MATCH(B223,{"Lunes","Martes","Miércoles","Jueves","Viernes","Sábado","Domingo"},0)-1)</f>
        <v/>
      </c>
    </row>
    <row r="224" customFormat="false" ht="15" hidden="false" customHeight="false" outlineLevel="0" collapsed="false">
      <c r="G224" s="23" t="str">
        <f aca="false">IF(OR(D224="",E224=""),"",E224*IFERROR(VLOOKUP(F224,Perfil!$B$19:$C$24,2,0),1))</f>
        <v/>
      </c>
      <c r="H224" s="23" t="str">
        <f aca="false">IF(G224="","",G224/100*INDEX(Alimentos!$E$5:$E$40,MATCH($D224,Alimentos!$B$5:$B$40,0)))</f>
        <v/>
      </c>
      <c r="I224" s="23" t="str">
        <f aca="false">IF(G224="","",G224/100*INDEX(Alimentos!$F$5:$F$40,MATCH($D224,Alimentos!$B$5:$B$40,0)))</f>
        <v/>
      </c>
      <c r="J224" s="23" t="str">
        <f aca="false">IF(G224="","",G224/100*INDEX(Alimentos!$G$5:$G$40,MATCH($D224,Alimentos!$B$5:$B$40,0)))</f>
        <v/>
      </c>
      <c r="K224" s="23" t="str">
        <f aca="false">IF(G224="","",G224/100*INDEX(Alimentos!$H$5:$H$40,MATCH($D224,Alimentos!$B$5:$B$40,0)))</f>
        <v/>
      </c>
      <c r="L224" s="24" t="str">
        <f aca="false">IF(OR(A224="",B224=""),"",Perfil!$C$13+(A224-1)*7+MATCH(B224,{"Lunes","Martes","Miércoles","Jueves","Viernes","Sábado","Domingo"},0)-1)</f>
        <v/>
      </c>
    </row>
    <row r="225" customFormat="false" ht="15" hidden="false" customHeight="false" outlineLevel="0" collapsed="false">
      <c r="G225" s="23" t="str">
        <f aca="false">IF(OR(D225="",E225=""),"",E225*IFERROR(VLOOKUP(F225,Perfil!$B$19:$C$24,2,0),1))</f>
        <v/>
      </c>
      <c r="H225" s="23" t="str">
        <f aca="false">IF(G225="","",G225/100*INDEX(Alimentos!$E$5:$E$40,MATCH($D225,Alimentos!$B$5:$B$40,0)))</f>
        <v/>
      </c>
      <c r="I225" s="23" t="str">
        <f aca="false">IF(G225="","",G225/100*INDEX(Alimentos!$F$5:$F$40,MATCH($D225,Alimentos!$B$5:$B$40,0)))</f>
        <v/>
      </c>
      <c r="J225" s="23" t="str">
        <f aca="false">IF(G225="","",G225/100*INDEX(Alimentos!$G$5:$G$40,MATCH($D225,Alimentos!$B$5:$B$40,0)))</f>
        <v/>
      </c>
      <c r="K225" s="23" t="str">
        <f aca="false">IF(G225="","",G225/100*INDEX(Alimentos!$H$5:$H$40,MATCH($D225,Alimentos!$B$5:$B$40,0)))</f>
        <v/>
      </c>
      <c r="L225" s="24" t="str">
        <f aca="false">IF(OR(A225="",B225=""),"",Perfil!$C$13+(A225-1)*7+MATCH(B225,{"Lunes","Martes","Miércoles","Jueves","Viernes","Sábado","Domingo"},0)-1)</f>
        <v/>
      </c>
    </row>
    <row r="226" customFormat="false" ht="15" hidden="false" customHeight="false" outlineLevel="0" collapsed="false">
      <c r="G226" s="23" t="str">
        <f aca="false">IF(OR(D226="",E226=""),"",E226*IFERROR(VLOOKUP(F226,Perfil!$B$19:$C$24,2,0),1))</f>
        <v/>
      </c>
      <c r="H226" s="23" t="str">
        <f aca="false">IF(G226="","",G226/100*INDEX(Alimentos!$E$5:$E$40,MATCH($D226,Alimentos!$B$5:$B$40,0)))</f>
        <v/>
      </c>
      <c r="I226" s="23" t="str">
        <f aca="false">IF(G226="","",G226/100*INDEX(Alimentos!$F$5:$F$40,MATCH($D226,Alimentos!$B$5:$B$40,0)))</f>
        <v/>
      </c>
      <c r="J226" s="23" t="str">
        <f aca="false">IF(G226="","",G226/100*INDEX(Alimentos!$G$5:$G$40,MATCH($D226,Alimentos!$B$5:$B$40,0)))</f>
        <v/>
      </c>
      <c r="K226" s="23" t="str">
        <f aca="false">IF(G226="","",G226/100*INDEX(Alimentos!$H$5:$H$40,MATCH($D226,Alimentos!$B$5:$B$40,0)))</f>
        <v/>
      </c>
      <c r="L226" s="24" t="str">
        <f aca="false">IF(OR(A226="",B226=""),"",Perfil!$C$13+(A226-1)*7+MATCH(B226,{"Lunes","Martes","Miércoles","Jueves","Viernes","Sábado","Domingo"},0)-1)</f>
        <v/>
      </c>
    </row>
    <row r="227" customFormat="false" ht="15" hidden="false" customHeight="false" outlineLevel="0" collapsed="false">
      <c r="G227" s="23" t="str">
        <f aca="false">IF(OR(D227="",E227=""),"",E227*IFERROR(VLOOKUP(F227,Perfil!$B$19:$C$24,2,0),1))</f>
        <v/>
      </c>
      <c r="H227" s="23" t="str">
        <f aca="false">IF(G227="","",G227/100*INDEX(Alimentos!$E$5:$E$40,MATCH($D227,Alimentos!$B$5:$B$40,0)))</f>
        <v/>
      </c>
      <c r="I227" s="23" t="str">
        <f aca="false">IF(G227="","",G227/100*INDEX(Alimentos!$F$5:$F$40,MATCH($D227,Alimentos!$B$5:$B$40,0)))</f>
        <v/>
      </c>
      <c r="J227" s="23" t="str">
        <f aca="false">IF(G227="","",G227/100*INDEX(Alimentos!$G$5:$G$40,MATCH($D227,Alimentos!$B$5:$B$40,0)))</f>
        <v/>
      </c>
      <c r="K227" s="23" t="str">
        <f aca="false">IF(G227="","",G227/100*INDEX(Alimentos!$H$5:$H$40,MATCH($D227,Alimentos!$B$5:$B$40,0)))</f>
        <v/>
      </c>
      <c r="L227" s="24" t="str">
        <f aca="false">IF(OR(A227="",B227=""),"",Perfil!$C$13+(A227-1)*7+MATCH(B227,{"Lunes","Martes","Miércoles","Jueves","Viernes","Sábado","Domingo"},0)-1)</f>
        <v/>
      </c>
    </row>
    <row r="228" customFormat="false" ht="15" hidden="false" customHeight="false" outlineLevel="0" collapsed="false">
      <c r="G228" s="23" t="str">
        <f aca="false">IF(OR(D228="",E228=""),"",E228*IFERROR(VLOOKUP(F228,Perfil!$B$19:$C$24,2,0),1))</f>
        <v/>
      </c>
      <c r="H228" s="23" t="str">
        <f aca="false">IF(G228="","",G228/100*INDEX(Alimentos!$E$5:$E$40,MATCH($D228,Alimentos!$B$5:$B$40,0)))</f>
        <v/>
      </c>
      <c r="I228" s="23" t="str">
        <f aca="false">IF(G228="","",G228/100*INDEX(Alimentos!$F$5:$F$40,MATCH($D228,Alimentos!$B$5:$B$40,0)))</f>
        <v/>
      </c>
      <c r="J228" s="23" t="str">
        <f aca="false">IF(G228="","",G228/100*INDEX(Alimentos!$G$5:$G$40,MATCH($D228,Alimentos!$B$5:$B$40,0)))</f>
        <v/>
      </c>
      <c r="K228" s="23" t="str">
        <f aca="false">IF(G228="","",G228/100*INDEX(Alimentos!$H$5:$H$40,MATCH($D228,Alimentos!$B$5:$B$40,0)))</f>
        <v/>
      </c>
      <c r="L228" s="24" t="str">
        <f aca="false">IF(OR(A228="",B228=""),"",Perfil!$C$13+(A228-1)*7+MATCH(B228,{"Lunes","Martes","Miércoles","Jueves","Viernes","Sábado","Domingo"},0)-1)</f>
        <v/>
      </c>
    </row>
    <row r="229" customFormat="false" ht="15" hidden="false" customHeight="false" outlineLevel="0" collapsed="false">
      <c r="G229" s="23" t="str">
        <f aca="false">IF(OR(D229="",E229=""),"",E229*IFERROR(VLOOKUP(F229,Perfil!$B$19:$C$24,2,0),1))</f>
        <v/>
      </c>
      <c r="H229" s="23" t="str">
        <f aca="false">IF(G229="","",G229/100*INDEX(Alimentos!$E$5:$E$40,MATCH($D229,Alimentos!$B$5:$B$40,0)))</f>
        <v/>
      </c>
      <c r="I229" s="23" t="str">
        <f aca="false">IF(G229="","",G229/100*INDEX(Alimentos!$F$5:$F$40,MATCH($D229,Alimentos!$B$5:$B$40,0)))</f>
        <v/>
      </c>
      <c r="J229" s="23" t="str">
        <f aca="false">IF(G229="","",G229/100*INDEX(Alimentos!$G$5:$G$40,MATCH($D229,Alimentos!$B$5:$B$40,0)))</f>
        <v/>
      </c>
      <c r="K229" s="23" t="str">
        <f aca="false">IF(G229="","",G229/100*INDEX(Alimentos!$H$5:$H$40,MATCH($D229,Alimentos!$B$5:$B$40,0)))</f>
        <v/>
      </c>
      <c r="L229" s="24" t="str">
        <f aca="false">IF(OR(A229="",B229=""),"",Perfil!$C$13+(A229-1)*7+MATCH(B229,{"Lunes","Martes","Miércoles","Jueves","Viernes","Sábado","Domingo"},0)-1)</f>
        <v/>
      </c>
    </row>
    <row r="230" customFormat="false" ht="15" hidden="false" customHeight="false" outlineLevel="0" collapsed="false">
      <c r="G230" s="23" t="str">
        <f aca="false">IF(OR(D230="",E230=""),"",E230*IFERROR(VLOOKUP(F230,Perfil!$B$19:$C$24,2,0),1))</f>
        <v/>
      </c>
      <c r="H230" s="23" t="str">
        <f aca="false">IF(G230="","",G230/100*INDEX(Alimentos!$E$5:$E$40,MATCH($D230,Alimentos!$B$5:$B$40,0)))</f>
        <v/>
      </c>
      <c r="I230" s="23" t="str">
        <f aca="false">IF(G230="","",G230/100*INDEX(Alimentos!$F$5:$F$40,MATCH($D230,Alimentos!$B$5:$B$40,0)))</f>
        <v/>
      </c>
      <c r="J230" s="23" t="str">
        <f aca="false">IF(G230="","",G230/100*INDEX(Alimentos!$G$5:$G$40,MATCH($D230,Alimentos!$B$5:$B$40,0)))</f>
        <v/>
      </c>
      <c r="K230" s="23" t="str">
        <f aca="false">IF(G230="","",G230/100*INDEX(Alimentos!$H$5:$H$40,MATCH($D230,Alimentos!$B$5:$B$40,0)))</f>
        <v/>
      </c>
      <c r="L230" s="24" t="str">
        <f aca="false">IF(OR(A230="",B230=""),"",Perfil!$C$13+(A230-1)*7+MATCH(B230,{"Lunes","Martes","Miércoles","Jueves","Viernes","Sábado","Domingo"},0)-1)</f>
        <v/>
      </c>
    </row>
    <row r="231" customFormat="false" ht="15" hidden="false" customHeight="false" outlineLevel="0" collapsed="false">
      <c r="G231" s="23" t="str">
        <f aca="false">IF(OR(D231="",E231=""),"",E231*IFERROR(VLOOKUP(F231,Perfil!$B$19:$C$24,2,0),1))</f>
        <v/>
      </c>
      <c r="H231" s="23" t="str">
        <f aca="false">IF(G231="","",G231/100*INDEX(Alimentos!$E$5:$E$40,MATCH($D231,Alimentos!$B$5:$B$40,0)))</f>
        <v/>
      </c>
      <c r="I231" s="23" t="str">
        <f aca="false">IF(G231="","",G231/100*INDEX(Alimentos!$F$5:$F$40,MATCH($D231,Alimentos!$B$5:$B$40,0)))</f>
        <v/>
      </c>
      <c r="J231" s="23" t="str">
        <f aca="false">IF(G231="","",G231/100*INDEX(Alimentos!$G$5:$G$40,MATCH($D231,Alimentos!$B$5:$B$40,0)))</f>
        <v/>
      </c>
      <c r="K231" s="23" t="str">
        <f aca="false">IF(G231="","",G231/100*INDEX(Alimentos!$H$5:$H$40,MATCH($D231,Alimentos!$B$5:$B$40,0)))</f>
        <v/>
      </c>
      <c r="L231" s="24" t="str">
        <f aca="false">IF(OR(A231="",B231=""),"",Perfil!$C$13+(A231-1)*7+MATCH(B231,{"Lunes","Martes","Miércoles","Jueves","Viernes","Sábado","Domingo"},0)-1)</f>
        <v/>
      </c>
    </row>
    <row r="232" customFormat="false" ht="15" hidden="false" customHeight="false" outlineLevel="0" collapsed="false">
      <c r="G232" s="23" t="str">
        <f aca="false">IF(OR(D232="",E232=""),"",E232*IFERROR(VLOOKUP(F232,Perfil!$B$19:$C$24,2,0),1))</f>
        <v/>
      </c>
      <c r="H232" s="23" t="str">
        <f aca="false">IF(G232="","",G232/100*INDEX(Alimentos!$E$5:$E$40,MATCH($D232,Alimentos!$B$5:$B$40,0)))</f>
        <v/>
      </c>
      <c r="I232" s="23" t="str">
        <f aca="false">IF(G232="","",G232/100*INDEX(Alimentos!$F$5:$F$40,MATCH($D232,Alimentos!$B$5:$B$40,0)))</f>
        <v/>
      </c>
      <c r="J232" s="23" t="str">
        <f aca="false">IF(G232="","",G232/100*INDEX(Alimentos!$G$5:$G$40,MATCH($D232,Alimentos!$B$5:$B$40,0)))</f>
        <v/>
      </c>
      <c r="K232" s="23" t="str">
        <f aca="false">IF(G232="","",G232/100*INDEX(Alimentos!$H$5:$H$40,MATCH($D232,Alimentos!$B$5:$B$40,0)))</f>
        <v/>
      </c>
      <c r="L232" s="24" t="str">
        <f aca="false">IF(OR(A232="",B232=""),"",Perfil!$C$13+(A232-1)*7+MATCH(B232,{"Lunes","Martes","Miércoles","Jueves","Viernes","Sábado","Domingo"},0)-1)</f>
        <v/>
      </c>
    </row>
    <row r="233" customFormat="false" ht="15" hidden="false" customHeight="false" outlineLevel="0" collapsed="false">
      <c r="G233" s="23" t="str">
        <f aca="false">IF(OR(D233="",E233=""),"",E233*IFERROR(VLOOKUP(F233,Perfil!$B$19:$C$24,2,0),1))</f>
        <v/>
      </c>
      <c r="H233" s="23" t="str">
        <f aca="false">IF(G233="","",G233/100*INDEX(Alimentos!$E$5:$E$40,MATCH($D233,Alimentos!$B$5:$B$40,0)))</f>
        <v/>
      </c>
      <c r="I233" s="23" t="str">
        <f aca="false">IF(G233="","",G233/100*INDEX(Alimentos!$F$5:$F$40,MATCH($D233,Alimentos!$B$5:$B$40,0)))</f>
        <v/>
      </c>
      <c r="J233" s="23" t="str">
        <f aca="false">IF(G233="","",G233/100*INDEX(Alimentos!$G$5:$G$40,MATCH($D233,Alimentos!$B$5:$B$40,0)))</f>
        <v/>
      </c>
      <c r="K233" s="23" t="str">
        <f aca="false">IF(G233="","",G233/100*INDEX(Alimentos!$H$5:$H$40,MATCH($D233,Alimentos!$B$5:$B$40,0)))</f>
        <v/>
      </c>
      <c r="L233" s="24" t="str">
        <f aca="false">IF(OR(A233="",B233=""),"",Perfil!$C$13+(A233-1)*7+MATCH(B233,{"Lunes","Martes","Miércoles","Jueves","Viernes","Sábado","Domingo"},0)-1)</f>
        <v/>
      </c>
    </row>
    <row r="234" customFormat="false" ht="15" hidden="false" customHeight="false" outlineLevel="0" collapsed="false">
      <c r="G234" s="23" t="str">
        <f aca="false">IF(OR(D234="",E234=""),"",E234*IFERROR(VLOOKUP(F234,Perfil!$B$19:$C$24,2,0),1))</f>
        <v/>
      </c>
      <c r="H234" s="23" t="str">
        <f aca="false">IF(G234="","",G234/100*INDEX(Alimentos!$E$5:$E$40,MATCH($D234,Alimentos!$B$5:$B$40,0)))</f>
        <v/>
      </c>
      <c r="I234" s="23" t="str">
        <f aca="false">IF(G234="","",G234/100*INDEX(Alimentos!$F$5:$F$40,MATCH($D234,Alimentos!$B$5:$B$40,0)))</f>
        <v/>
      </c>
      <c r="J234" s="23" t="str">
        <f aca="false">IF(G234="","",G234/100*INDEX(Alimentos!$G$5:$G$40,MATCH($D234,Alimentos!$B$5:$B$40,0)))</f>
        <v/>
      </c>
      <c r="K234" s="23" t="str">
        <f aca="false">IF(G234="","",G234/100*INDEX(Alimentos!$H$5:$H$40,MATCH($D234,Alimentos!$B$5:$B$40,0)))</f>
        <v/>
      </c>
      <c r="L234" s="24" t="str">
        <f aca="false">IF(OR(A234="",B234=""),"",Perfil!$C$13+(A234-1)*7+MATCH(B234,{"Lunes","Martes","Miércoles","Jueves","Viernes","Sábado","Domingo"},0)-1)</f>
        <v/>
      </c>
    </row>
    <row r="235" customFormat="false" ht="15" hidden="false" customHeight="false" outlineLevel="0" collapsed="false">
      <c r="G235" s="23" t="str">
        <f aca="false">IF(OR(D235="",E235=""),"",E235*IFERROR(VLOOKUP(F235,Perfil!$B$19:$C$24,2,0),1))</f>
        <v/>
      </c>
      <c r="H235" s="23" t="str">
        <f aca="false">IF(G235="","",G235/100*INDEX(Alimentos!$E$5:$E$40,MATCH($D235,Alimentos!$B$5:$B$40,0)))</f>
        <v/>
      </c>
      <c r="I235" s="23" t="str">
        <f aca="false">IF(G235="","",G235/100*INDEX(Alimentos!$F$5:$F$40,MATCH($D235,Alimentos!$B$5:$B$40,0)))</f>
        <v/>
      </c>
      <c r="J235" s="23" t="str">
        <f aca="false">IF(G235="","",G235/100*INDEX(Alimentos!$G$5:$G$40,MATCH($D235,Alimentos!$B$5:$B$40,0)))</f>
        <v/>
      </c>
      <c r="K235" s="23" t="str">
        <f aca="false">IF(G235="","",G235/100*INDEX(Alimentos!$H$5:$H$40,MATCH($D235,Alimentos!$B$5:$B$40,0)))</f>
        <v/>
      </c>
      <c r="L235" s="24" t="str">
        <f aca="false">IF(OR(A235="",B235=""),"",Perfil!$C$13+(A235-1)*7+MATCH(B235,{"Lunes","Martes","Miércoles","Jueves","Viernes","Sábado","Domingo"},0)-1)</f>
        <v/>
      </c>
    </row>
    <row r="236" customFormat="false" ht="15" hidden="false" customHeight="false" outlineLevel="0" collapsed="false">
      <c r="G236" s="23" t="str">
        <f aca="false">IF(OR(D236="",E236=""),"",E236*IFERROR(VLOOKUP(F236,Perfil!$B$19:$C$24,2,0),1))</f>
        <v/>
      </c>
      <c r="H236" s="23" t="str">
        <f aca="false">IF(G236="","",G236/100*INDEX(Alimentos!$E$5:$E$40,MATCH($D236,Alimentos!$B$5:$B$40,0)))</f>
        <v/>
      </c>
      <c r="I236" s="23" t="str">
        <f aca="false">IF(G236="","",G236/100*INDEX(Alimentos!$F$5:$F$40,MATCH($D236,Alimentos!$B$5:$B$40,0)))</f>
        <v/>
      </c>
      <c r="J236" s="23" t="str">
        <f aca="false">IF(G236="","",G236/100*INDEX(Alimentos!$G$5:$G$40,MATCH($D236,Alimentos!$B$5:$B$40,0)))</f>
        <v/>
      </c>
      <c r="K236" s="23" t="str">
        <f aca="false">IF(G236="","",G236/100*INDEX(Alimentos!$H$5:$H$40,MATCH($D236,Alimentos!$B$5:$B$40,0)))</f>
        <v/>
      </c>
      <c r="L236" s="24" t="str">
        <f aca="false">IF(OR(A236="",B236=""),"",Perfil!$C$13+(A236-1)*7+MATCH(B236,{"Lunes","Martes","Miércoles","Jueves","Viernes","Sábado","Domingo"},0)-1)</f>
        <v/>
      </c>
    </row>
    <row r="237" customFormat="false" ht="15" hidden="false" customHeight="false" outlineLevel="0" collapsed="false">
      <c r="G237" s="23" t="str">
        <f aca="false">IF(OR(D237="",E237=""),"",E237*IFERROR(VLOOKUP(F237,Perfil!$B$19:$C$24,2,0),1))</f>
        <v/>
      </c>
      <c r="H237" s="23" t="str">
        <f aca="false">IF(G237="","",G237/100*INDEX(Alimentos!$E$5:$E$40,MATCH($D237,Alimentos!$B$5:$B$40,0)))</f>
        <v/>
      </c>
      <c r="I237" s="23" t="str">
        <f aca="false">IF(G237="","",G237/100*INDEX(Alimentos!$F$5:$F$40,MATCH($D237,Alimentos!$B$5:$B$40,0)))</f>
        <v/>
      </c>
      <c r="J237" s="23" t="str">
        <f aca="false">IF(G237="","",G237/100*INDEX(Alimentos!$G$5:$G$40,MATCH($D237,Alimentos!$B$5:$B$40,0)))</f>
        <v/>
      </c>
      <c r="K237" s="23" t="str">
        <f aca="false">IF(G237="","",G237/100*INDEX(Alimentos!$H$5:$H$40,MATCH($D237,Alimentos!$B$5:$B$40,0)))</f>
        <v/>
      </c>
      <c r="L237" s="24" t="str">
        <f aca="false">IF(OR(A237="",B237=""),"",Perfil!$C$13+(A237-1)*7+MATCH(B237,{"Lunes","Martes","Miércoles","Jueves","Viernes","Sábado","Domingo"},0)-1)</f>
        <v/>
      </c>
    </row>
    <row r="238" customFormat="false" ht="15" hidden="false" customHeight="false" outlineLevel="0" collapsed="false">
      <c r="G238" s="23" t="str">
        <f aca="false">IF(OR(D238="",E238=""),"",E238*IFERROR(VLOOKUP(F238,Perfil!$B$19:$C$24,2,0),1))</f>
        <v/>
      </c>
      <c r="H238" s="23" t="str">
        <f aca="false">IF(G238="","",G238/100*INDEX(Alimentos!$E$5:$E$40,MATCH($D238,Alimentos!$B$5:$B$40,0)))</f>
        <v/>
      </c>
      <c r="I238" s="23" t="str">
        <f aca="false">IF(G238="","",G238/100*INDEX(Alimentos!$F$5:$F$40,MATCH($D238,Alimentos!$B$5:$B$40,0)))</f>
        <v/>
      </c>
      <c r="J238" s="23" t="str">
        <f aca="false">IF(G238="","",G238/100*INDEX(Alimentos!$G$5:$G$40,MATCH($D238,Alimentos!$B$5:$B$40,0)))</f>
        <v/>
      </c>
      <c r="K238" s="23" t="str">
        <f aca="false">IF(G238="","",G238/100*INDEX(Alimentos!$H$5:$H$40,MATCH($D238,Alimentos!$B$5:$B$40,0)))</f>
        <v/>
      </c>
      <c r="L238" s="24" t="str">
        <f aca="false">IF(OR(A238="",B238=""),"",Perfil!$C$13+(A238-1)*7+MATCH(B238,{"Lunes","Martes","Miércoles","Jueves","Viernes","Sábado","Domingo"},0)-1)</f>
        <v/>
      </c>
    </row>
    <row r="239" customFormat="false" ht="15" hidden="false" customHeight="false" outlineLevel="0" collapsed="false">
      <c r="G239" s="23" t="str">
        <f aca="false">IF(OR(D239="",E239=""),"",E239*IFERROR(VLOOKUP(F239,Perfil!$B$19:$C$24,2,0),1))</f>
        <v/>
      </c>
      <c r="H239" s="23" t="str">
        <f aca="false">IF(G239="","",G239/100*INDEX(Alimentos!$E$5:$E$40,MATCH($D239,Alimentos!$B$5:$B$40,0)))</f>
        <v/>
      </c>
      <c r="I239" s="23" t="str">
        <f aca="false">IF(G239="","",G239/100*INDEX(Alimentos!$F$5:$F$40,MATCH($D239,Alimentos!$B$5:$B$40,0)))</f>
        <v/>
      </c>
      <c r="J239" s="23" t="str">
        <f aca="false">IF(G239="","",G239/100*INDEX(Alimentos!$G$5:$G$40,MATCH($D239,Alimentos!$B$5:$B$40,0)))</f>
        <v/>
      </c>
      <c r="K239" s="23" t="str">
        <f aca="false">IF(G239="","",G239/100*INDEX(Alimentos!$H$5:$H$40,MATCH($D239,Alimentos!$B$5:$B$40,0)))</f>
        <v/>
      </c>
      <c r="L239" s="24" t="str">
        <f aca="false">IF(OR(A239="",B239=""),"",Perfil!$C$13+(A239-1)*7+MATCH(B239,{"Lunes","Martes","Miércoles","Jueves","Viernes","Sábado","Domingo"},0)-1)</f>
        <v/>
      </c>
    </row>
    <row r="240" customFormat="false" ht="15" hidden="false" customHeight="false" outlineLevel="0" collapsed="false">
      <c r="G240" s="23" t="str">
        <f aca="false">IF(OR(D240="",E240=""),"",E240*IFERROR(VLOOKUP(F240,Perfil!$B$19:$C$24,2,0),1))</f>
        <v/>
      </c>
      <c r="H240" s="23" t="str">
        <f aca="false">IF(G240="","",G240/100*INDEX(Alimentos!$E$5:$E$40,MATCH($D240,Alimentos!$B$5:$B$40,0)))</f>
        <v/>
      </c>
      <c r="I240" s="23" t="str">
        <f aca="false">IF(G240="","",G240/100*INDEX(Alimentos!$F$5:$F$40,MATCH($D240,Alimentos!$B$5:$B$40,0)))</f>
        <v/>
      </c>
      <c r="J240" s="23" t="str">
        <f aca="false">IF(G240="","",G240/100*INDEX(Alimentos!$G$5:$G$40,MATCH($D240,Alimentos!$B$5:$B$40,0)))</f>
        <v/>
      </c>
      <c r="K240" s="23" t="str">
        <f aca="false">IF(G240="","",G240/100*INDEX(Alimentos!$H$5:$H$40,MATCH($D240,Alimentos!$B$5:$B$40,0)))</f>
        <v/>
      </c>
      <c r="L240" s="24" t="str">
        <f aca="false">IF(OR(A240="",B240=""),"",Perfil!$C$13+(A240-1)*7+MATCH(B240,{"Lunes","Martes","Miércoles","Jueves","Viernes","Sábado","Domingo"},0)-1)</f>
        <v/>
      </c>
    </row>
    <row r="241" customFormat="false" ht="15" hidden="false" customHeight="false" outlineLevel="0" collapsed="false">
      <c r="G241" s="23" t="str">
        <f aca="false">IF(OR(D241="",E241=""),"",E241*IFERROR(VLOOKUP(F241,Perfil!$B$19:$C$24,2,0),1))</f>
        <v/>
      </c>
      <c r="H241" s="23" t="str">
        <f aca="false">IF(G241="","",G241/100*INDEX(Alimentos!$E$5:$E$40,MATCH($D241,Alimentos!$B$5:$B$40,0)))</f>
        <v/>
      </c>
      <c r="I241" s="23" t="str">
        <f aca="false">IF(G241="","",G241/100*INDEX(Alimentos!$F$5:$F$40,MATCH($D241,Alimentos!$B$5:$B$40,0)))</f>
        <v/>
      </c>
      <c r="J241" s="23" t="str">
        <f aca="false">IF(G241="","",G241/100*INDEX(Alimentos!$G$5:$G$40,MATCH($D241,Alimentos!$B$5:$B$40,0)))</f>
        <v/>
      </c>
      <c r="K241" s="23" t="str">
        <f aca="false">IF(G241="","",G241/100*INDEX(Alimentos!$H$5:$H$40,MATCH($D241,Alimentos!$B$5:$B$40,0)))</f>
        <v/>
      </c>
      <c r="L241" s="24" t="str">
        <f aca="false">IF(OR(A241="",B241=""),"",Perfil!$C$13+(A241-1)*7+MATCH(B241,{"Lunes","Martes","Miércoles","Jueves","Viernes","Sábado","Domingo"},0)-1)</f>
        <v/>
      </c>
    </row>
    <row r="242" customFormat="false" ht="15" hidden="false" customHeight="false" outlineLevel="0" collapsed="false">
      <c r="G242" s="23" t="str">
        <f aca="false">IF(OR(D242="",E242=""),"",E242*IFERROR(VLOOKUP(F242,Perfil!$B$19:$C$24,2,0),1))</f>
        <v/>
      </c>
      <c r="H242" s="23" t="str">
        <f aca="false">IF(G242="","",G242/100*INDEX(Alimentos!$E$5:$E$40,MATCH($D242,Alimentos!$B$5:$B$40,0)))</f>
        <v/>
      </c>
      <c r="I242" s="23" t="str">
        <f aca="false">IF(G242="","",G242/100*INDEX(Alimentos!$F$5:$F$40,MATCH($D242,Alimentos!$B$5:$B$40,0)))</f>
        <v/>
      </c>
      <c r="J242" s="23" t="str">
        <f aca="false">IF(G242="","",G242/100*INDEX(Alimentos!$G$5:$G$40,MATCH($D242,Alimentos!$B$5:$B$40,0)))</f>
        <v/>
      </c>
      <c r="K242" s="23" t="str">
        <f aca="false">IF(G242="","",G242/100*INDEX(Alimentos!$H$5:$H$40,MATCH($D242,Alimentos!$B$5:$B$40,0)))</f>
        <v/>
      </c>
      <c r="L242" s="24" t="str">
        <f aca="false">IF(OR(A242="",B242=""),"",Perfil!$C$13+(A242-1)*7+MATCH(B242,{"Lunes","Martes","Miércoles","Jueves","Viernes","Sábado","Domingo"},0)-1)</f>
        <v/>
      </c>
    </row>
    <row r="243" customFormat="false" ht="15" hidden="false" customHeight="false" outlineLevel="0" collapsed="false">
      <c r="G243" s="23" t="str">
        <f aca="false">IF(OR(D243="",E243=""),"",E243*IFERROR(VLOOKUP(F243,Perfil!$B$19:$C$24,2,0),1))</f>
        <v/>
      </c>
      <c r="H243" s="23" t="str">
        <f aca="false">IF(G243="","",G243/100*INDEX(Alimentos!$E$5:$E$40,MATCH($D243,Alimentos!$B$5:$B$40,0)))</f>
        <v/>
      </c>
      <c r="I243" s="23" t="str">
        <f aca="false">IF(G243="","",G243/100*INDEX(Alimentos!$F$5:$F$40,MATCH($D243,Alimentos!$B$5:$B$40,0)))</f>
        <v/>
      </c>
      <c r="J243" s="23" t="str">
        <f aca="false">IF(G243="","",G243/100*INDEX(Alimentos!$G$5:$G$40,MATCH($D243,Alimentos!$B$5:$B$40,0)))</f>
        <v/>
      </c>
      <c r="K243" s="23" t="str">
        <f aca="false">IF(G243="","",G243/100*INDEX(Alimentos!$H$5:$H$40,MATCH($D243,Alimentos!$B$5:$B$40,0)))</f>
        <v/>
      </c>
      <c r="L243" s="24" t="str">
        <f aca="false">IF(OR(A243="",B243=""),"",Perfil!$C$13+(A243-1)*7+MATCH(B243,{"Lunes","Martes","Miércoles","Jueves","Viernes","Sábado","Domingo"},0)-1)</f>
        <v/>
      </c>
    </row>
    <row r="244" customFormat="false" ht="15" hidden="false" customHeight="false" outlineLevel="0" collapsed="false">
      <c r="G244" s="23" t="str">
        <f aca="false">IF(OR(D244="",E244=""),"",E244*IFERROR(VLOOKUP(F244,Perfil!$B$19:$C$24,2,0),1))</f>
        <v/>
      </c>
      <c r="H244" s="23" t="str">
        <f aca="false">IF(G244="","",G244/100*INDEX(Alimentos!$E$5:$E$40,MATCH($D244,Alimentos!$B$5:$B$40,0)))</f>
        <v/>
      </c>
      <c r="I244" s="23" t="str">
        <f aca="false">IF(G244="","",G244/100*INDEX(Alimentos!$F$5:$F$40,MATCH($D244,Alimentos!$B$5:$B$40,0)))</f>
        <v/>
      </c>
      <c r="J244" s="23" t="str">
        <f aca="false">IF(G244="","",G244/100*INDEX(Alimentos!$G$5:$G$40,MATCH($D244,Alimentos!$B$5:$B$40,0)))</f>
        <v/>
      </c>
      <c r="K244" s="23" t="str">
        <f aca="false">IF(G244="","",G244/100*INDEX(Alimentos!$H$5:$H$40,MATCH($D244,Alimentos!$B$5:$B$40,0)))</f>
        <v/>
      </c>
      <c r="L244" s="24" t="str">
        <f aca="false">IF(OR(A244="",B244=""),"",Perfil!$C$13+(A244-1)*7+MATCH(B244,{"Lunes","Martes","Miércoles","Jueves","Viernes","Sábado","Domingo"},0)-1)</f>
        <v/>
      </c>
    </row>
    <row r="245" customFormat="false" ht="15" hidden="false" customHeight="false" outlineLevel="0" collapsed="false">
      <c r="G245" s="23" t="str">
        <f aca="false">IF(OR(D245="",E245=""),"",E245*IFERROR(VLOOKUP(F245,Perfil!$B$19:$C$24,2,0),1))</f>
        <v/>
      </c>
      <c r="H245" s="23" t="str">
        <f aca="false">IF(G245="","",G245/100*INDEX(Alimentos!$E$5:$E$40,MATCH($D245,Alimentos!$B$5:$B$40,0)))</f>
        <v/>
      </c>
      <c r="I245" s="23" t="str">
        <f aca="false">IF(G245="","",G245/100*INDEX(Alimentos!$F$5:$F$40,MATCH($D245,Alimentos!$B$5:$B$40,0)))</f>
        <v/>
      </c>
      <c r="J245" s="23" t="str">
        <f aca="false">IF(G245="","",G245/100*INDEX(Alimentos!$G$5:$G$40,MATCH($D245,Alimentos!$B$5:$B$40,0)))</f>
        <v/>
      </c>
      <c r="K245" s="23" t="str">
        <f aca="false">IF(G245="","",G245/100*INDEX(Alimentos!$H$5:$H$40,MATCH($D245,Alimentos!$B$5:$B$40,0)))</f>
        <v/>
      </c>
      <c r="L245" s="24" t="str">
        <f aca="false">IF(OR(A245="",B245=""),"",Perfil!$C$13+(A245-1)*7+MATCH(B245,{"Lunes","Martes","Miércoles","Jueves","Viernes","Sábado","Domingo"},0)-1)</f>
        <v/>
      </c>
    </row>
    <row r="246" customFormat="false" ht="15" hidden="false" customHeight="false" outlineLevel="0" collapsed="false">
      <c r="G246" s="23" t="str">
        <f aca="false">IF(OR(D246="",E246=""),"",E246*IFERROR(VLOOKUP(F246,Perfil!$B$19:$C$24,2,0),1))</f>
        <v/>
      </c>
      <c r="H246" s="23" t="str">
        <f aca="false">IF(G246="","",G246/100*INDEX(Alimentos!$E$5:$E$40,MATCH($D246,Alimentos!$B$5:$B$40,0)))</f>
        <v/>
      </c>
      <c r="I246" s="23" t="str">
        <f aca="false">IF(G246="","",G246/100*INDEX(Alimentos!$F$5:$F$40,MATCH($D246,Alimentos!$B$5:$B$40,0)))</f>
        <v/>
      </c>
      <c r="J246" s="23" t="str">
        <f aca="false">IF(G246="","",G246/100*INDEX(Alimentos!$G$5:$G$40,MATCH($D246,Alimentos!$B$5:$B$40,0)))</f>
        <v/>
      </c>
      <c r="K246" s="23" t="str">
        <f aca="false">IF(G246="","",G246/100*INDEX(Alimentos!$H$5:$H$40,MATCH($D246,Alimentos!$B$5:$B$40,0)))</f>
        <v/>
      </c>
      <c r="L246" s="24" t="str">
        <f aca="false">IF(OR(A246="",B246=""),"",Perfil!$C$13+(A246-1)*7+MATCH(B246,{"Lunes","Martes","Miércoles","Jueves","Viernes","Sábado","Domingo"},0)-1)</f>
        <v/>
      </c>
    </row>
    <row r="247" customFormat="false" ht="15" hidden="false" customHeight="false" outlineLevel="0" collapsed="false">
      <c r="G247" s="23" t="str">
        <f aca="false">IF(OR(D247="",E247=""),"",E247*IFERROR(VLOOKUP(F247,Perfil!$B$19:$C$24,2,0),1))</f>
        <v/>
      </c>
      <c r="H247" s="23" t="str">
        <f aca="false">IF(G247="","",G247/100*INDEX(Alimentos!$E$5:$E$40,MATCH($D247,Alimentos!$B$5:$B$40,0)))</f>
        <v/>
      </c>
      <c r="I247" s="23" t="str">
        <f aca="false">IF(G247="","",G247/100*INDEX(Alimentos!$F$5:$F$40,MATCH($D247,Alimentos!$B$5:$B$40,0)))</f>
        <v/>
      </c>
      <c r="J247" s="23" t="str">
        <f aca="false">IF(G247="","",G247/100*INDEX(Alimentos!$G$5:$G$40,MATCH($D247,Alimentos!$B$5:$B$40,0)))</f>
        <v/>
      </c>
      <c r="K247" s="23" t="str">
        <f aca="false">IF(G247="","",G247/100*INDEX(Alimentos!$H$5:$H$40,MATCH($D247,Alimentos!$B$5:$B$40,0)))</f>
        <v/>
      </c>
      <c r="L247" s="24" t="str">
        <f aca="false">IF(OR(A247="",B247=""),"",Perfil!$C$13+(A247-1)*7+MATCH(B247,{"Lunes","Martes","Miércoles","Jueves","Viernes","Sábado","Domingo"},0)-1)</f>
        <v/>
      </c>
    </row>
    <row r="248" customFormat="false" ht="15" hidden="false" customHeight="false" outlineLevel="0" collapsed="false">
      <c r="G248" s="23" t="str">
        <f aca="false">IF(OR(D248="",E248=""),"",E248*IFERROR(VLOOKUP(F248,Perfil!$B$19:$C$24,2,0),1))</f>
        <v/>
      </c>
      <c r="H248" s="23" t="str">
        <f aca="false">IF(G248="","",G248/100*INDEX(Alimentos!$E$5:$E$40,MATCH($D248,Alimentos!$B$5:$B$40,0)))</f>
        <v/>
      </c>
      <c r="I248" s="23" t="str">
        <f aca="false">IF(G248="","",G248/100*INDEX(Alimentos!$F$5:$F$40,MATCH($D248,Alimentos!$B$5:$B$40,0)))</f>
        <v/>
      </c>
      <c r="J248" s="23" t="str">
        <f aca="false">IF(G248="","",G248/100*INDEX(Alimentos!$G$5:$G$40,MATCH($D248,Alimentos!$B$5:$B$40,0)))</f>
        <v/>
      </c>
      <c r="K248" s="23" t="str">
        <f aca="false">IF(G248="","",G248/100*INDEX(Alimentos!$H$5:$H$40,MATCH($D248,Alimentos!$B$5:$B$40,0)))</f>
        <v/>
      </c>
      <c r="L248" s="24" t="str">
        <f aca="false">IF(OR(A248="",B248=""),"",Perfil!$C$13+(A248-1)*7+MATCH(B248,{"Lunes","Martes","Miércoles","Jueves","Viernes","Sábado","Domingo"},0)-1)</f>
        <v/>
      </c>
    </row>
    <row r="249" customFormat="false" ht="15" hidden="false" customHeight="false" outlineLevel="0" collapsed="false">
      <c r="G249" s="23" t="str">
        <f aca="false">IF(OR(D249="",E249=""),"",E249*IFERROR(VLOOKUP(F249,Perfil!$B$19:$C$24,2,0),1))</f>
        <v/>
      </c>
      <c r="H249" s="23" t="str">
        <f aca="false">IF(G249="","",G249/100*INDEX(Alimentos!$E$5:$E$40,MATCH($D249,Alimentos!$B$5:$B$40,0)))</f>
        <v/>
      </c>
      <c r="I249" s="23" t="str">
        <f aca="false">IF(G249="","",G249/100*INDEX(Alimentos!$F$5:$F$40,MATCH($D249,Alimentos!$B$5:$B$40,0)))</f>
        <v/>
      </c>
      <c r="J249" s="23" t="str">
        <f aca="false">IF(G249="","",G249/100*INDEX(Alimentos!$G$5:$G$40,MATCH($D249,Alimentos!$B$5:$B$40,0)))</f>
        <v/>
      </c>
      <c r="K249" s="23" t="str">
        <f aca="false">IF(G249="","",G249/100*INDEX(Alimentos!$H$5:$H$40,MATCH($D249,Alimentos!$B$5:$B$40,0)))</f>
        <v/>
      </c>
      <c r="L249" s="24" t="str">
        <f aca="false">IF(OR(A249="",B249=""),"",Perfil!$C$13+(A249-1)*7+MATCH(B249,{"Lunes","Martes","Miércoles","Jueves","Viernes","Sábado","Domingo"},0)-1)</f>
        <v/>
      </c>
    </row>
    <row r="250" customFormat="false" ht="15" hidden="false" customHeight="false" outlineLevel="0" collapsed="false">
      <c r="G250" s="23" t="str">
        <f aca="false">IF(OR(D250="",E250=""),"",E250*IFERROR(VLOOKUP(F250,Perfil!$B$19:$C$24,2,0),1))</f>
        <v/>
      </c>
      <c r="H250" s="23" t="str">
        <f aca="false">IF(G250="","",G250/100*INDEX(Alimentos!$E$5:$E$40,MATCH($D250,Alimentos!$B$5:$B$40,0)))</f>
        <v/>
      </c>
      <c r="I250" s="23" t="str">
        <f aca="false">IF(G250="","",G250/100*INDEX(Alimentos!$F$5:$F$40,MATCH($D250,Alimentos!$B$5:$B$40,0)))</f>
        <v/>
      </c>
      <c r="J250" s="23" t="str">
        <f aca="false">IF(G250="","",G250/100*INDEX(Alimentos!$G$5:$G$40,MATCH($D250,Alimentos!$B$5:$B$40,0)))</f>
        <v/>
      </c>
      <c r="K250" s="23" t="str">
        <f aca="false">IF(G250="","",G250/100*INDEX(Alimentos!$H$5:$H$40,MATCH($D250,Alimentos!$B$5:$B$40,0)))</f>
        <v/>
      </c>
      <c r="L250" s="24" t="str">
        <f aca="false">IF(OR(A250="",B250=""),"",Perfil!$C$13+(A250-1)*7+MATCH(B250,{"Lunes","Martes","Miércoles","Jueves","Viernes","Sábado","Domingo"},0)-1)</f>
        <v/>
      </c>
    </row>
    <row r="251" customFormat="false" ht="15" hidden="false" customHeight="false" outlineLevel="0" collapsed="false">
      <c r="G251" s="23" t="str">
        <f aca="false">IF(OR(D251="",E251=""),"",E251*IFERROR(VLOOKUP(F251,Perfil!$B$19:$C$24,2,0),1))</f>
        <v/>
      </c>
      <c r="H251" s="23" t="str">
        <f aca="false">IF(G251="","",G251/100*INDEX(Alimentos!$E$5:$E$40,MATCH($D251,Alimentos!$B$5:$B$40,0)))</f>
        <v/>
      </c>
      <c r="I251" s="23" t="str">
        <f aca="false">IF(G251="","",G251/100*INDEX(Alimentos!$F$5:$F$40,MATCH($D251,Alimentos!$B$5:$B$40,0)))</f>
        <v/>
      </c>
      <c r="J251" s="23" t="str">
        <f aca="false">IF(G251="","",G251/100*INDEX(Alimentos!$G$5:$G$40,MATCH($D251,Alimentos!$B$5:$B$40,0)))</f>
        <v/>
      </c>
      <c r="K251" s="23" t="str">
        <f aca="false">IF(G251="","",G251/100*INDEX(Alimentos!$H$5:$H$40,MATCH($D251,Alimentos!$B$5:$B$40,0)))</f>
        <v/>
      </c>
      <c r="L251" s="24" t="str">
        <f aca="false">IF(OR(A251="",B251=""),"",Perfil!$C$13+(A251-1)*7+MATCH(B251,{"Lunes","Martes","Miércoles","Jueves","Viernes","Sábado","Domingo"},0)-1)</f>
        <v/>
      </c>
    </row>
    <row r="252" customFormat="false" ht="15" hidden="false" customHeight="false" outlineLevel="0" collapsed="false">
      <c r="G252" s="23" t="str">
        <f aca="false">IF(OR(D252="",E252=""),"",E252*IFERROR(VLOOKUP(F252,Perfil!$B$19:$C$24,2,0),1))</f>
        <v/>
      </c>
      <c r="H252" s="23" t="str">
        <f aca="false">IF(G252="","",G252/100*INDEX(Alimentos!$E$5:$E$40,MATCH($D252,Alimentos!$B$5:$B$40,0)))</f>
        <v/>
      </c>
      <c r="I252" s="23" t="str">
        <f aca="false">IF(G252="","",G252/100*INDEX(Alimentos!$F$5:$F$40,MATCH($D252,Alimentos!$B$5:$B$40,0)))</f>
        <v/>
      </c>
      <c r="J252" s="23" t="str">
        <f aca="false">IF(G252="","",G252/100*INDEX(Alimentos!$G$5:$G$40,MATCH($D252,Alimentos!$B$5:$B$40,0)))</f>
        <v/>
      </c>
      <c r="K252" s="23" t="str">
        <f aca="false">IF(G252="","",G252/100*INDEX(Alimentos!$H$5:$H$40,MATCH($D252,Alimentos!$B$5:$B$40,0)))</f>
        <v/>
      </c>
      <c r="L252" s="24" t="str">
        <f aca="false">IF(OR(A252="",B252=""),"",Perfil!$C$13+(A252-1)*7+MATCH(B252,{"Lunes","Martes","Miércoles","Jueves","Viernes","Sábado","Domingo"},0)-1)</f>
        <v/>
      </c>
    </row>
    <row r="253" customFormat="false" ht="15" hidden="false" customHeight="false" outlineLevel="0" collapsed="false">
      <c r="G253" s="23" t="str">
        <f aca="false">IF(OR(D253="",E253=""),"",E253*IFERROR(VLOOKUP(F253,Perfil!$B$19:$C$24,2,0),1))</f>
        <v/>
      </c>
      <c r="H253" s="23" t="str">
        <f aca="false">IF(G253="","",G253/100*INDEX(Alimentos!$E$5:$E$40,MATCH($D253,Alimentos!$B$5:$B$40,0)))</f>
        <v/>
      </c>
      <c r="I253" s="23" t="str">
        <f aca="false">IF(G253="","",G253/100*INDEX(Alimentos!$F$5:$F$40,MATCH($D253,Alimentos!$B$5:$B$40,0)))</f>
        <v/>
      </c>
      <c r="J253" s="23" t="str">
        <f aca="false">IF(G253="","",G253/100*INDEX(Alimentos!$G$5:$G$40,MATCH($D253,Alimentos!$B$5:$B$40,0)))</f>
        <v/>
      </c>
      <c r="K253" s="23" t="str">
        <f aca="false">IF(G253="","",G253/100*INDEX(Alimentos!$H$5:$H$40,MATCH($D253,Alimentos!$B$5:$B$40,0)))</f>
        <v/>
      </c>
      <c r="L253" s="24" t="str">
        <f aca="false">IF(OR(A253="",B253=""),"",Perfil!$C$13+(A253-1)*7+MATCH(B253,{"Lunes","Martes","Miércoles","Jueves","Viernes","Sábado","Domingo"},0)-1)</f>
        <v/>
      </c>
    </row>
    <row r="254" customFormat="false" ht="15" hidden="false" customHeight="false" outlineLevel="0" collapsed="false">
      <c r="G254" s="23" t="str">
        <f aca="false">IF(OR(D254="",E254=""),"",E254*IFERROR(VLOOKUP(F254,Perfil!$B$19:$C$24,2,0),1))</f>
        <v/>
      </c>
      <c r="H254" s="23" t="str">
        <f aca="false">IF(G254="","",G254/100*INDEX(Alimentos!$E$5:$E$40,MATCH($D254,Alimentos!$B$5:$B$40,0)))</f>
        <v/>
      </c>
      <c r="I254" s="23" t="str">
        <f aca="false">IF(G254="","",G254/100*INDEX(Alimentos!$F$5:$F$40,MATCH($D254,Alimentos!$B$5:$B$40,0)))</f>
        <v/>
      </c>
      <c r="J254" s="23" t="str">
        <f aca="false">IF(G254="","",G254/100*INDEX(Alimentos!$G$5:$G$40,MATCH($D254,Alimentos!$B$5:$B$40,0)))</f>
        <v/>
      </c>
      <c r="K254" s="23" t="str">
        <f aca="false">IF(G254="","",G254/100*INDEX(Alimentos!$H$5:$H$40,MATCH($D254,Alimentos!$B$5:$B$40,0)))</f>
        <v/>
      </c>
      <c r="L254" s="24" t="str">
        <f aca="false">IF(OR(A254="",B254=""),"",Perfil!$C$13+(A254-1)*7+MATCH(B254,{"Lunes","Martes","Miércoles","Jueves","Viernes","Sábado","Domingo"},0)-1)</f>
        <v/>
      </c>
    </row>
    <row r="255" customFormat="false" ht="15" hidden="false" customHeight="false" outlineLevel="0" collapsed="false">
      <c r="G255" s="23" t="str">
        <f aca="false">IF(OR(D255="",E255=""),"",E255*IFERROR(VLOOKUP(F255,Perfil!$B$19:$C$24,2,0),1))</f>
        <v/>
      </c>
      <c r="H255" s="23" t="str">
        <f aca="false">IF(G255="","",G255/100*INDEX(Alimentos!$E$5:$E$40,MATCH($D255,Alimentos!$B$5:$B$40,0)))</f>
        <v/>
      </c>
      <c r="I255" s="23" t="str">
        <f aca="false">IF(G255="","",G255/100*INDEX(Alimentos!$F$5:$F$40,MATCH($D255,Alimentos!$B$5:$B$40,0)))</f>
        <v/>
      </c>
      <c r="J255" s="23" t="str">
        <f aca="false">IF(G255="","",G255/100*INDEX(Alimentos!$G$5:$G$40,MATCH($D255,Alimentos!$B$5:$B$40,0)))</f>
        <v/>
      </c>
      <c r="K255" s="23" t="str">
        <f aca="false">IF(G255="","",G255/100*INDEX(Alimentos!$H$5:$H$40,MATCH($D255,Alimentos!$B$5:$B$40,0)))</f>
        <v/>
      </c>
      <c r="L255" s="24" t="str">
        <f aca="false">IF(OR(A255="",B255=""),"",Perfil!$C$13+(A255-1)*7+MATCH(B255,{"Lunes","Martes","Miércoles","Jueves","Viernes","Sábado","Domingo"},0)-1)</f>
        <v/>
      </c>
    </row>
    <row r="256" customFormat="false" ht="15" hidden="false" customHeight="false" outlineLevel="0" collapsed="false">
      <c r="G256" s="23" t="str">
        <f aca="false">IF(OR(D256="",E256=""),"",E256*IFERROR(VLOOKUP(F256,Perfil!$B$19:$C$24,2,0),1))</f>
        <v/>
      </c>
      <c r="H256" s="23" t="str">
        <f aca="false">IF(G256="","",G256/100*INDEX(Alimentos!$E$5:$E$40,MATCH($D256,Alimentos!$B$5:$B$40,0)))</f>
        <v/>
      </c>
      <c r="I256" s="23" t="str">
        <f aca="false">IF(G256="","",G256/100*INDEX(Alimentos!$F$5:$F$40,MATCH($D256,Alimentos!$B$5:$B$40,0)))</f>
        <v/>
      </c>
      <c r="J256" s="23" t="str">
        <f aca="false">IF(G256="","",G256/100*INDEX(Alimentos!$G$5:$G$40,MATCH($D256,Alimentos!$B$5:$B$40,0)))</f>
        <v/>
      </c>
      <c r="K256" s="23" t="str">
        <f aca="false">IF(G256="","",G256/100*INDEX(Alimentos!$H$5:$H$40,MATCH($D256,Alimentos!$B$5:$B$40,0)))</f>
        <v/>
      </c>
      <c r="L256" s="24" t="str">
        <f aca="false">IF(OR(A256="",B256=""),"",Perfil!$C$13+(A256-1)*7+MATCH(B256,{"Lunes","Martes","Miércoles","Jueves","Viernes","Sábado","Domingo"},0)-1)</f>
        <v/>
      </c>
    </row>
    <row r="257" customFormat="false" ht="15" hidden="false" customHeight="false" outlineLevel="0" collapsed="false">
      <c r="G257" s="23" t="str">
        <f aca="false">IF(OR(D257="",E257=""),"",E257*IFERROR(VLOOKUP(F257,Perfil!$B$19:$C$24,2,0),1))</f>
        <v/>
      </c>
      <c r="H257" s="23" t="str">
        <f aca="false">IF(G257="","",G257/100*INDEX(Alimentos!$E$5:$E$40,MATCH($D257,Alimentos!$B$5:$B$40,0)))</f>
        <v/>
      </c>
      <c r="I257" s="23" t="str">
        <f aca="false">IF(G257="","",G257/100*INDEX(Alimentos!$F$5:$F$40,MATCH($D257,Alimentos!$B$5:$B$40,0)))</f>
        <v/>
      </c>
      <c r="J257" s="23" t="str">
        <f aca="false">IF(G257="","",G257/100*INDEX(Alimentos!$G$5:$G$40,MATCH($D257,Alimentos!$B$5:$B$40,0)))</f>
        <v/>
      </c>
      <c r="K257" s="23" t="str">
        <f aca="false">IF(G257="","",G257/100*INDEX(Alimentos!$H$5:$H$40,MATCH($D257,Alimentos!$B$5:$B$40,0)))</f>
        <v/>
      </c>
      <c r="L257" s="24" t="str">
        <f aca="false">IF(OR(A257="",B257=""),"",Perfil!$C$13+(A257-1)*7+MATCH(B257,{"Lunes","Martes","Miércoles","Jueves","Viernes","Sábado","Domingo"},0)-1)</f>
        <v/>
      </c>
    </row>
    <row r="258" customFormat="false" ht="15" hidden="false" customHeight="false" outlineLevel="0" collapsed="false">
      <c r="G258" s="23" t="str">
        <f aca="false">IF(OR(D258="",E258=""),"",E258*IFERROR(VLOOKUP(F258,Perfil!$B$19:$C$24,2,0),1))</f>
        <v/>
      </c>
      <c r="H258" s="23" t="str">
        <f aca="false">IF(G258="","",G258/100*INDEX(Alimentos!$E$5:$E$40,MATCH($D258,Alimentos!$B$5:$B$40,0)))</f>
        <v/>
      </c>
      <c r="I258" s="23" t="str">
        <f aca="false">IF(G258="","",G258/100*INDEX(Alimentos!$F$5:$F$40,MATCH($D258,Alimentos!$B$5:$B$40,0)))</f>
        <v/>
      </c>
      <c r="J258" s="23" t="str">
        <f aca="false">IF(G258="","",G258/100*INDEX(Alimentos!$G$5:$G$40,MATCH($D258,Alimentos!$B$5:$B$40,0)))</f>
        <v/>
      </c>
      <c r="K258" s="23" t="str">
        <f aca="false">IF(G258="","",G258/100*INDEX(Alimentos!$H$5:$H$40,MATCH($D258,Alimentos!$B$5:$B$40,0)))</f>
        <v/>
      </c>
      <c r="L258" s="24" t="str">
        <f aca="false">IF(OR(A258="",B258=""),"",Perfil!$C$13+(A258-1)*7+MATCH(B258,{"Lunes","Martes","Miércoles","Jueves","Viernes","Sábado","Domingo"},0)-1)</f>
        <v/>
      </c>
    </row>
    <row r="259" customFormat="false" ht="15" hidden="false" customHeight="false" outlineLevel="0" collapsed="false">
      <c r="G259" s="23" t="str">
        <f aca="false">IF(OR(D259="",E259=""),"",E259*IFERROR(VLOOKUP(F259,Perfil!$B$19:$C$24,2,0),1))</f>
        <v/>
      </c>
      <c r="H259" s="23" t="str">
        <f aca="false">IF(G259="","",G259/100*INDEX(Alimentos!$E$5:$E$40,MATCH($D259,Alimentos!$B$5:$B$40,0)))</f>
        <v/>
      </c>
      <c r="I259" s="23" t="str">
        <f aca="false">IF(G259="","",G259/100*INDEX(Alimentos!$F$5:$F$40,MATCH($D259,Alimentos!$B$5:$B$40,0)))</f>
        <v/>
      </c>
      <c r="J259" s="23" t="str">
        <f aca="false">IF(G259="","",G259/100*INDEX(Alimentos!$G$5:$G$40,MATCH($D259,Alimentos!$B$5:$B$40,0)))</f>
        <v/>
      </c>
      <c r="K259" s="23" t="str">
        <f aca="false">IF(G259="","",G259/100*INDEX(Alimentos!$H$5:$H$40,MATCH($D259,Alimentos!$B$5:$B$40,0)))</f>
        <v/>
      </c>
      <c r="L259" s="24" t="str">
        <f aca="false">IF(OR(A259="",B259=""),"",Perfil!$C$13+(A259-1)*7+MATCH(B259,{"Lunes","Martes","Miércoles","Jueves","Viernes","Sábado","Domingo"},0)-1)</f>
        <v/>
      </c>
    </row>
    <row r="260" customFormat="false" ht="15" hidden="false" customHeight="false" outlineLevel="0" collapsed="false">
      <c r="G260" s="23" t="str">
        <f aca="false">IF(OR(D260="",E260=""),"",E260*IFERROR(VLOOKUP(F260,Perfil!$B$19:$C$24,2,0),1))</f>
        <v/>
      </c>
      <c r="H260" s="23" t="str">
        <f aca="false">IF(G260="","",G260/100*INDEX(Alimentos!$E$5:$E$40,MATCH($D260,Alimentos!$B$5:$B$40,0)))</f>
        <v/>
      </c>
      <c r="I260" s="23" t="str">
        <f aca="false">IF(G260="","",G260/100*INDEX(Alimentos!$F$5:$F$40,MATCH($D260,Alimentos!$B$5:$B$40,0)))</f>
        <v/>
      </c>
      <c r="J260" s="23" t="str">
        <f aca="false">IF(G260="","",G260/100*INDEX(Alimentos!$G$5:$G$40,MATCH($D260,Alimentos!$B$5:$B$40,0)))</f>
        <v/>
      </c>
      <c r="K260" s="23" t="str">
        <f aca="false">IF(G260="","",G260/100*INDEX(Alimentos!$H$5:$H$40,MATCH($D260,Alimentos!$B$5:$B$40,0)))</f>
        <v/>
      </c>
      <c r="L260" s="24" t="str">
        <f aca="false">IF(OR(A260="",B260=""),"",Perfil!$C$13+(A260-1)*7+MATCH(B260,{"Lunes","Martes","Miércoles","Jueves","Viernes","Sábado","Domingo"},0)-1)</f>
        <v/>
      </c>
    </row>
    <row r="261" customFormat="false" ht="15" hidden="false" customHeight="false" outlineLevel="0" collapsed="false">
      <c r="G261" s="23" t="str">
        <f aca="false">IF(OR(D261="",E261=""),"",E261*IFERROR(VLOOKUP(F261,Perfil!$B$19:$C$24,2,0),1))</f>
        <v/>
      </c>
      <c r="H261" s="23" t="str">
        <f aca="false">IF(G261="","",G261/100*INDEX(Alimentos!$E$5:$E$40,MATCH($D261,Alimentos!$B$5:$B$40,0)))</f>
        <v/>
      </c>
      <c r="I261" s="23" t="str">
        <f aca="false">IF(G261="","",G261/100*INDEX(Alimentos!$F$5:$F$40,MATCH($D261,Alimentos!$B$5:$B$40,0)))</f>
        <v/>
      </c>
      <c r="J261" s="23" t="str">
        <f aca="false">IF(G261="","",G261/100*INDEX(Alimentos!$G$5:$G$40,MATCH($D261,Alimentos!$B$5:$B$40,0)))</f>
        <v/>
      </c>
      <c r="K261" s="23" t="str">
        <f aca="false">IF(G261="","",G261/100*INDEX(Alimentos!$H$5:$H$40,MATCH($D261,Alimentos!$B$5:$B$40,0)))</f>
        <v/>
      </c>
      <c r="L261" s="24" t="str">
        <f aca="false">IF(OR(A261="",B261=""),"",Perfil!$C$13+(A261-1)*7+MATCH(B261,{"Lunes","Martes","Miércoles","Jueves","Viernes","Sábado","Domingo"},0)-1)</f>
        <v/>
      </c>
    </row>
    <row r="262" customFormat="false" ht="15" hidden="false" customHeight="false" outlineLevel="0" collapsed="false">
      <c r="G262" s="23" t="str">
        <f aca="false">IF(OR(D262="",E262=""),"",E262*IFERROR(VLOOKUP(F262,Perfil!$B$19:$C$24,2,0),1))</f>
        <v/>
      </c>
      <c r="H262" s="23" t="str">
        <f aca="false">IF(G262="","",G262/100*INDEX(Alimentos!$E$5:$E$40,MATCH($D262,Alimentos!$B$5:$B$40,0)))</f>
        <v/>
      </c>
      <c r="I262" s="23" t="str">
        <f aca="false">IF(G262="","",G262/100*INDEX(Alimentos!$F$5:$F$40,MATCH($D262,Alimentos!$B$5:$B$40,0)))</f>
        <v/>
      </c>
      <c r="J262" s="23" t="str">
        <f aca="false">IF(G262="","",G262/100*INDEX(Alimentos!$G$5:$G$40,MATCH($D262,Alimentos!$B$5:$B$40,0)))</f>
        <v/>
      </c>
      <c r="K262" s="23" t="str">
        <f aca="false">IF(G262="","",G262/100*INDEX(Alimentos!$H$5:$H$40,MATCH($D262,Alimentos!$B$5:$B$40,0)))</f>
        <v/>
      </c>
      <c r="L262" s="24" t="str">
        <f aca="false">IF(OR(A262="",B262=""),"",Perfil!$C$13+(A262-1)*7+MATCH(B262,{"Lunes","Martes","Miércoles","Jueves","Viernes","Sábado","Domingo"},0)-1)</f>
        <v/>
      </c>
    </row>
    <row r="263" customFormat="false" ht="15" hidden="false" customHeight="false" outlineLevel="0" collapsed="false">
      <c r="G263" s="23" t="str">
        <f aca="false">IF(OR(D263="",E263=""),"",E263*IFERROR(VLOOKUP(F263,Perfil!$B$19:$C$24,2,0),1))</f>
        <v/>
      </c>
      <c r="H263" s="23" t="str">
        <f aca="false">IF(G263="","",G263/100*INDEX(Alimentos!$E$5:$E$40,MATCH($D263,Alimentos!$B$5:$B$40,0)))</f>
        <v/>
      </c>
      <c r="I263" s="23" t="str">
        <f aca="false">IF(G263="","",G263/100*INDEX(Alimentos!$F$5:$F$40,MATCH($D263,Alimentos!$B$5:$B$40,0)))</f>
        <v/>
      </c>
      <c r="J263" s="23" t="str">
        <f aca="false">IF(G263="","",G263/100*INDEX(Alimentos!$G$5:$G$40,MATCH($D263,Alimentos!$B$5:$B$40,0)))</f>
        <v/>
      </c>
      <c r="K263" s="23" t="str">
        <f aca="false">IF(G263="","",G263/100*INDEX(Alimentos!$H$5:$H$40,MATCH($D263,Alimentos!$B$5:$B$40,0)))</f>
        <v/>
      </c>
      <c r="L263" s="24" t="str">
        <f aca="false">IF(OR(A263="",B263=""),"",Perfil!$C$13+(A263-1)*7+MATCH(B263,{"Lunes","Martes","Miércoles","Jueves","Viernes","Sábado","Domingo"},0)-1)</f>
        <v/>
      </c>
    </row>
    <row r="264" customFormat="false" ht="15" hidden="false" customHeight="false" outlineLevel="0" collapsed="false">
      <c r="G264" s="23" t="str">
        <f aca="false">IF(OR(D264="",E264=""),"",E264*IFERROR(VLOOKUP(F264,Perfil!$B$19:$C$24,2,0),1))</f>
        <v/>
      </c>
      <c r="H264" s="23" t="str">
        <f aca="false">IF(G264="","",G264/100*INDEX(Alimentos!$E$5:$E$40,MATCH($D264,Alimentos!$B$5:$B$40,0)))</f>
        <v/>
      </c>
      <c r="I264" s="23" t="str">
        <f aca="false">IF(G264="","",G264/100*INDEX(Alimentos!$F$5:$F$40,MATCH($D264,Alimentos!$B$5:$B$40,0)))</f>
        <v/>
      </c>
      <c r="J264" s="23" t="str">
        <f aca="false">IF(G264="","",G264/100*INDEX(Alimentos!$G$5:$G$40,MATCH($D264,Alimentos!$B$5:$B$40,0)))</f>
        <v/>
      </c>
      <c r="K264" s="23" t="str">
        <f aca="false">IF(G264="","",G264/100*INDEX(Alimentos!$H$5:$H$40,MATCH($D264,Alimentos!$B$5:$B$40,0)))</f>
        <v/>
      </c>
      <c r="L264" s="24" t="str">
        <f aca="false">IF(OR(A264="",B264=""),"",Perfil!$C$13+(A264-1)*7+MATCH(B264,{"Lunes","Martes","Miércoles","Jueves","Viernes","Sábado","Domingo"},0)-1)</f>
        <v/>
      </c>
    </row>
    <row r="265" customFormat="false" ht="15" hidden="false" customHeight="false" outlineLevel="0" collapsed="false">
      <c r="G265" s="23" t="str">
        <f aca="false">IF(OR(D265="",E265=""),"",E265*IFERROR(VLOOKUP(F265,Perfil!$B$19:$C$24,2,0),1))</f>
        <v/>
      </c>
      <c r="H265" s="23" t="str">
        <f aca="false">IF(G265="","",G265/100*INDEX(Alimentos!$E$5:$E$40,MATCH($D265,Alimentos!$B$5:$B$40,0)))</f>
        <v/>
      </c>
      <c r="I265" s="23" t="str">
        <f aca="false">IF(G265="","",G265/100*INDEX(Alimentos!$F$5:$F$40,MATCH($D265,Alimentos!$B$5:$B$40,0)))</f>
        <v/>
      </c>
      <c r="J265" s="23" t="str">
        <f aca="false">IF(G265="","",G265/100*INDEX(Alimentos!$G$5:$G$40,MATCH($D265,Alimentos!$B$5:$B$40,0)))</f>
        <v/>
      </c>
      <c r="K265" s="23" t="str">
        <f aca="false">IF(G265="","",G265/100*INDEX(Alimentos!$H$5:$H$40,MATCH($D265,Alimentos!$B$5:$B$40,0)))</f>
        <v/>
      </c>
      <c r="L265" s="24" t="str">
        <f aca="false">IF(OR(A265="",B265=""),"",Perfil!$C$13+(A265-1)*7+MATCH(B265,{"Lunes","Martes","Miércoles","Jueves","Viernes","Sábado","Domingo"},0)-1)</f>
        <v/>
      </c>
    </row>
    <row r="266" customFormat="false" ht="15" hidden="false" customHeight="false" outlineLevel="0" collapsed="false">
      <c r="G266" s="23" t="str">
        <f aca="false">IF(OR(D266="",E266=""),"",E266*IFERROR(VLOOKUP(F266,Perfil!$B$19:$C$24,2,0),1))</f>
        <v/>
      </c>
      <c r="H266" s="23" t="str">
        <f aca="false">IF(G266="","",G266/100*INDEX(Alimentos!$E$5:$E$40,MATCH($D266,Alimentos!$B$5:$B$40,0)))</f>
        <v/>
      </c>
      <c r="I266" s="23" t="str">
        <f aca="false">IF(G266="","",G266/100*INDEX(Alimentos!$F$5:$F$40,MATCH($D266,Alimentos!$B$5:$B$40,0)))</f>
        <v/>
      </c>
      <c r="J266" s="23" t="str">
        <f aca="false">IF(G266="","",G266/100*INDEX(Alimentos!$G$5:$G$40,MATCH($D266,Alimentos!$B$5:$B$40,0)))</f>
        <v/>
      </c>
      <c r="K266" s="23" t="str">
        <f aca="false">IF(G266="","",G266/100*INDEX(Alimentos!$H$5:$H$40,MATCH($D266,Alimentos!$B$5:$B$40,0)))</f>
        <v/>
      </c>
      <c r="L266" s="24" t="str">
        <f aca="false">IF(OR(A266="",B266=""),"",Perfil!$C$13+(A266-1)*7+MATCH(B266,{"Lunes","Martes","Miércoles","Jueves","Viernes","Sábado","Domingo"},0)-1)</f>
        <v/>
      </c>
    </row>
    <row r="267" customFormat="false" ht="15" hidden="false" customHeight="false" outlineLevel="0" collapsed="false">
      <c r="G267" s="23" t="str">
        <f aca="false">IF(OR(D267="",E267=""),"",E267*IFERROR(VLOOKUP(F267,Perfil!$B$19:$C$24,2,0),1))</f>
        <v/>
      </c>
      <c r="H267" s="23" t="str">
        <f aca="false">IF(G267="","",G267/100*INDEX(Alimentos!$E$5:$E$40,MATCH($D267,Alimentos!$B$5:$B$40,0)))</f>
        <v/>
      </c>
      <c r="I267" s="23" t="str">
        <f aca="false">IF(G267="","",G267/100*INDEX(Alimentos!$F$5:$F$40,MATCH($D267,Alimentos!$B$5:$B$40,0)))</f>
        <v/>
      </c>
      <c r="J267" s="23" t="str">
        <f aca="false">IF(G267="","",G267/100*INDEX(Alimentos!$G$5:$G$40,MATCH($D267,Alimentos!$B$5:$B$40,0)))</f>
        <v/>
      </c>
      <c r="K267" s="23" t="str">
        <f aca="false">IF(G267="","",G267/100*INDEX(Alimentos!$H$5:$H$40,MATCH($D267,Alimentos!$B$5:$B$40,0)))</f>
        <v/>
      </c>
      <c r="L267" s="24" t="str">
        <f aca="false">IF(OR(A267="",B267=""),"",Perfil!$C$13+(A267-1)*7+MATCH(B267,{"Lunes","Martes","Miércoles","Jueves","Viernes","Sábado","Domingo"},0)-1)</f>
        <v/>
      </c>
    </row>
    <row r="268" customFormat="false" ht="15" hidden="false" customHeight="false" outlineLevel="0" collapsed="false">
      <c r="G268" s="23" t="str">
        <f aca="false">IF(OR(D268="",E268=""),"",E268*IFERROR(VLOOKUP(F268,Perfil!$B$19:$C$24,2,0),1))</f>
        <v/>
      </c>
      <c r="H268" s="23" t="str">
        <f aca="false">IF(G268="","",G268/100*INDEX(Alimentos!$E$5:$E$40,MATCH($D268,Alimentos!$B$5:$B$40,0)))</f>
        <v/>
      </c>
      <c r="I268" s="23" t="str">
        <f aca="false">IF(G268="","",G268/100*INDEX(Alimentos!$F$5:$F$40,MATCH($D268,Alimentos!$B$5:$B$40,0)))</f>
        <v/>
      </c>
      <c r="J268" s="23" t="str">
        <f aca="false">IF(G268="","",G268/100*INDEX(Alimentos!$G$5:$G$40,MATCH($D268,Alimentos!$B$5:$B$40,0)))</f>
        <v/>
      </c>
      <c r="K268" s="23" t="str">
        <f aca="false">IF(G268="","",G268/100*INDEX(Alimentos!$H$5:$H$40,MATCH($D268,Alimentos!$B$5:$B$40,0)))</f>
        <v/>
      </c>
      <c r="L268" s="24" t="str">
        <f aca="false">IF(OR(A268="",B268=""),"",Perfil!$C$13+(A268-1)*7+MATCH(B268,{"Lunes","Martes","Miércoles","Jueves","Viernes","Sábado","Domingo"},0)-1)</f>
        <v/>
      </c>
    </row>
    <row r="269" customFormat="false" ht="15" hidden="false" customHeight="false" outlineLevel="0" collapsed="false">
      <c r="G269" s="23" t="str">
        <f aca="false">IF(OR(D269="",E269=""),"",E269*IFERROR(VLOOKUP(F269,Perfil!$B$19:$C$24,2,0),1))</f>
        <v/>
      </c>
      <c r="H269" s="23" t="str">
        <f aca="false">IF(G269="","",G269/100*INDEX(Alimentos!$E$5:$E$40,MATCH($D269,Alimentos!$B$5:$B$40,0)))</f>
        <v/>
      </c>
      <c r="I269" s="23" t="str">
        <f aca="false">IF(G269="","",G269/100*INDEX(Alimentos!$F$5:$F$40,MATCH($D269,Alimentos!$B$5:$B$40,0)))</f>
        <v/>
      </c>
      <c r="J269" s="23" t="str">
        <f aca="false">IF(G269="","",G269/100*INDEX(Alimentos!$G$5:$G$40,MATCH($D269,Alimentos!$B$5:$B$40,0)))</f>
        <v/>
      </c>
      <c r="K269" s="23" t="str">
        <f aca="false">IF(G269="","",G269/100*INDEX(Alimentos!$H$5:$H$40,MATCH($D269,Alimentos!$B$5:$B$40,0)))</f>
        <v/>
      </c>
      <c r="L269" s="24" t="str">
        <f aca="false">IF(OR(A269="",B269=""),"",Perfil!$C$13+(A269-1)*7+MATCH(B269,{"Lunes","Martes","Miércoles","Jueves","Viernes","Sábado","Domingo"},0)-1)</f>
        <v/>
      </c>
    </row>
    <row r="270" customFormat="false" ht="15" hidden="false" customHeight="false" outlineLevel="0" collapsed="false">
      <c r="G270" s="23" t="str">
        <f aca="false">IF(OR(D270="",E270=""),"",E270*IFERROR(VLOOKUP(F270,Perfil!$B$19:$C$24,2,0),1))</f>
        <v/>
      </c>
      <c r="H270" s="23" t="str">
        <f aca="false">IF(G270="","",G270/100*INDEX(Alimentos!$E$5:$E$40,MATCH($D270,Alimentos!$B$5:$B$40,0)))</f>
        <v/>
      </c>
      <c r="I270" s="23" t="str">
        <f aca="false">IF(G270="","",G270/100*INDEX(Alimentos!$F$5:$F$40,MATCH($D270,Alimentos!$B$5:$B$40,0)))</f>
        <v/>
      </c>
      <c r="J270" s="23" t="str">
        <f aca="false">IF(G270="","",G270/100*INDEX(Alimentos!$G$5:$G$40,MATCH($D270,Alimentos!$B$5:$B$40,0)))</f>
        <v/>
      </c>
      <c r="K270" s="23" t="str">
        <f aca="false">IF(G270="","",G270/100*INDEX(Alimentos!$H$5:$H$40,MATCH($D270,Alimentos!$B$5:$B$40,0)))</f>
        <v/>
      </c>
      <c r="L270" s="24" t="str">
        <f aca="false">IF(OR(A270="",B270=""),"",Perfil!$C$13+(A270-1)*7+MATCH(B270,{"Lunes","Martes","Miércoles","Jueves","Viernes","Sábado","Domingo"},0)-1)</f>
        <v/>
      </c>
    </row>
    <row r="271" customFormat="false" ht="15" hidden="false" customHeight="false" outlineLevel="0" collapsed="false">
      <c r="G271" s="23" t="str">
        <f aca="false">IF(OR(D271="",E271=""),"",E271*IFERROR(VLOOKUP(F271,Perfil!$B$19:$C$24,2,0),1))</f>
        <v/>
      </c>
      <c r="H271" s="23" t="str">
        <f aca="false">IF(G271="","",G271/100*INDEX(Alimentos!$E$5:$E$40,MATCH($D271,Alimentos!$B$5:$B$40,0)))</f>
        <v/>
      </c>
      <c r="I271" s="23" t="str">
        <f aca="false">IF(G271="","",G271/100*INDEX(Alimentos!$F$5:$F$40,MATCH($D271,Alimentos!$B$5:$B$40,0)))</f>
        <v/>
      </c>
      <c r="J271" s="23" t="str">
        <f aca="false">IF(G271="","",G271/100*INDEX(Alimentos!$G$5:$G$40,MATCH($D271,Alimentos!$B$5:$B$40,0)))</f>
        <v/>
      </c>
      <c r="K271" s="23" t="str">
        <f aca="false">IF(G271="","",G271/100*INDEX(Alimentos!$H$5:$H$40,MATCH($D271,Alimentos!$B$5:$B$40,0)))</f>
        <v/>
      </c>
      <c r="L271" s="24" t="str">
        <f aca="false">IF(OR(A271="",B271=""),"",Perfil!$C$13+(A271-1)*7+MATCH(B271,{"Lunes","Martes","Miércoles","Jueves","Viernes","Sábado","Domingo"},0)-1)</f>
        <v/>
      </c>
    </row>
    <row r="272" customFormat="false" ht="15" hidden="false" customHeight="false" outlineLevel="0" collapsed="false">
      <c r="G272" s="23" t="str">
        <f aca="false">IF(OR(D272="",E272=""),"",E272*IFERROR(VLOOKUP(F272,Perfil!$B$19:$C$24,2,0),1))</f>
        <v/>
      </c>
      <c r="H272" s="23" t="str">
        <f aca="false">IF(G272="","",G272/100*INDEX(Alimentos!$E$5:$E$40,MATCH($D272,Alimentos!$B$5:$B$40,0)))</f>
        <v/>
      </c>
      <c r="I272" s="23" t="str">
        <f aca="false">IF(G272="","",G272/100*INDEX(Alimentos!$F$5:$F$40,MATCH($D272,Alimentos!$B$5:$B$40,0)))</f>
        <v/>
      </c>
      <c r="J272" s="23" t="str">
        <f aca="false">IF(G272="","",G272/100*INDEX(Alimentos!$G$5:$G$40,MATCH($D272,Alimentos!$B$5:$B$40,0)))</f>
        <v/>
      </c>
      <c r="K272" s="23" t="str">
        <f aca="false">IF(G272="","",G272/100*INDEX(Alimentos!$H$5:$H$40,MATCH($D272,Alimentos!$B$5:$B$40,0)))</f>
        <v/>
      </c>
      <c r="L272" s="24" t="str">
        <f aca="false">IF(OR(A272="",B272=""),"",Perfil!$C$13+(A272-1)*7+MATCH(B272,{"Lunes","Martes","Miércoles","Jueves","Viernes","Sábado","Domingo"},0)-1)</f>
        <v/>
      </c>
    </row>
    <row r="273" customFormat="false" ht="15" hidden="false" customHeight="false" outlineLevel="0" collapsed="false">
      <c r="G273" s="23" t="str">
        <f aca="false">IF(OR(D273="",E273=""),"",E273*IFERROR(VLOOKUP(F273,Perfil!$B$19:$C$24,2,0),1))</f>
        <v/>
      </c>
      <c r="H273" s="23" t="str">
        <f aca="false">IF(G273="","",G273/100*INDEX(Alimentos!$E$5:$E$40,MATCH($D273,Alimentos!$B$5:$B$40,0)))</f>
        <v/>
      </c>
      <c r="I273" s="23" t="str">
        <f aca="false">IF(G273="","",G273/100*INDEX(Alimentos!$F$5:$F$40,MATCH($D273,Alimentos!$B$5:$B$40,0)))</f>
        <v/>
      </c>
      <c r="J273" s="23" t="str">
        <f aca="false">IF(G273="","",G273/100*INDEX(Alimentos!$G$5:$G$40,MATCH($D273,Alimentos!$B$5:$B$40,0)))</f>
        <v/>
      </c>
      <c r="K273" s="23" t="str">
        <f aca="false">IF(G273="","",G273/100*INDEX(Alimentos!$H$5:$H$40,MATCH($D273,Alimentos!$B$5:$B$40,0)))</f>
        <v/>
      </c>
      <c r="L273" s="24" t="str">
        <f aca="false">IF(OR(A273="",B273=""),"",Perfil!$C$13+(A273-1)*7+MATCH(B273,{"Lunes","Martes","Miércoles","Jueves","Viernes","Sábado","Domingo"},0)-1)</f>
        <v/>
      </c>
    </row>
    <row r="274" customFormat="false" ht="15" hidden="false" customHeight="false" outlineLevel="0" collapsed="false">
      <c r="G274" s="23" t="str">
        <f aca="false">IF(OR(D274="",E274=""),"",E274*IFERROR(VLOOKUP(F274,Perfil!$B$19:$C$24,2,0),1))</f>
        <v/>
      </c>
      <c r="H274" s="23" t="str">
        <f aca="false">IF(G274="","",G274/100*INDEX(Alimentos!$E$5:$E$40,MATCH($D274,Alimentos!$B$5:$B$40,0)))</f>
        <v/>
      </c>
      <c r="I274" s="23" t="str">
        <f aca="false">IF(G274="","",G274/100*INDEX(Alimentos!$F$5:$F$40,MATCH($D274,Alimentos!$B$5:$B$40,0)))</f>
        <v/>
      </c>
      <c r="J274" s="23" t="str">
        <f aca="false">IF(G274="","",G274/100*INDEX(Alimentos!$G$5:$G$40,MATCH($D274,Alimentos!$B$5:$B$40,0)))</f>
        <v/>
      </c>
      <c r="K274" s="23" t="str">
        <f aca="false">IF(G274="","",G274/100*INDEX(Alimentos!$H$5:$H$40,MATCH($D274,Alimentos!$B$5:$B$40,0)))</f>
        <v/>
      </c>
      <c r="L274" s="24" t="str">
        <f aca="false">IF(OR(A274="",B274=""),"",Perfil!$C$13+(A274-1)*7+MATCH(B274,{"Lunes","Martes","Miércoles","Jueves","Viernes","Sábado","Domingo"},0)-1)</f>
        <v/>
      </c>
    </row>
    <row r="275" customFormat="false" ht="15" hidden="false" customHeight="false" outlineLevel="0" collapsed="false">
      <c r="G275" s="23" t="str">
        <f aca="false">IF(OR(D275="",E275=""),"",E275*IFERROR(VLOOKUP(F275,Perfil!$B$19:$C$24,2,0),1))</f>
        <v/>
      </c>
      <c r="H275" s="23" t="str">
        <f aca="false">IF(G275="","",G275/100*INDEX(Alimentos!$E$5:$E$40,MATCH($D275,Alimentos!$B$5:$B$40,0)))</f>
        <v/>
      </c>
      <c r="I275" s="23" t="str">
        <f aca="false">IF(G275="","",G275/100*INDEX(Alimentos!$F$5:$F$40,MATCH($D275,Alimentos!$B$5:$B$40,0)))</f>
        <v/>
      </c>
      <c r="J275" s="23" t="str">
        <f aca="false">IF(G275="","",G275/100*INDEX(Alimentos!$G$5:$G$40,MATCH($D275,Alimentos!$B$5:$B$40,0)))</f>
        <v/>
      </c>
      <c r="K275" s="23" t="str">
        <f aca="false">IF(G275="","",G275/100*INDEX(Alimentos!$H$5:$H$40,MATCH($D275,Alimentos!$B$5:$B$40,0)))</f>
        <v/>
      </c>
      <c r="L275" s="24" t="str">
        <f aca="false">IF(OR(A275="",B275=""),"",Perfil!$C$13+(A275-1)*7+MATCH(B275,{"Lunes","Martes","Miércoles","Jueves","Viernes","Sábado","Domingo"},0)-1)</f>
        <v/>
      </c>
    </row>
    <row r="276" customFormat="false" ht="15" hidden="false" customHeight="false" outlineLevel="0" collapsed="false">
      <c r="G276" s="23" t="str">
        <f aca="false">IF(OR(D276="",E276=""),"",E276*IFERROR(VLOOKUP(F276,Perfil!$B$19:$C$24,2,0),1))</f>
        <v/>
      </c>
      <c r="H276" s="23" t="str">
        <f aca="false">IF(G276="","",G276/100*INDEX(Alimentos!$E$5:$E$40,MATCH($D276,Alimentos!$B$5:$B$40,0)))</f>
        <v/>
      </c>
      <c r="I276" s="23" t="str">
        <f aca="false">IF(G276="","",G276/100*INDEX(Alimentos!$F$5:$F$40,MATCH($D276,Alimentos!$B$5:$B$40,0)))</f>
        <v/>
      </c>
      <c r="J276" s="23" t="str">
        <f aca="false">IF(G276="","",G276/100*INDEX(Alimentos!$G$5:$G$40,MATCH($D276,Alimentos!$B$5:$B$40,0)))</f>
        <v/>
      </c>
      <c r="K276" s="23" t="str">
        <f aca="false">IF(G276="","",G276/100*INDEX(Alimentos!$H$5:$H$40,MATCH($D276,Alimentos!$B$5:$B$40,0)))</f>
        <v/>
      </c>
      <c r="L276" s="24" t="str">
        <f aca="false">IF(OR(A276="",B276=""),"",Perfil!$C$13+(A276-1)*7+MATCH(B276,{"Lunes","Martes","Miércoles","Jueves","Viernes","Sábado","Domingo"},0)-1)</f>
        <v/>
      </c>
    </row>
    <row r="277" customFormat="false" ht="15" hidden="false" customHeight="false" outlineLevel="0" collapsed="false">
      <c r="G277" s="23" t="str">
        <f aca="false">IF(OR(D277="",E277=""),"",E277*IFERROR(VLOOKUP(F277,Perfil!$B$19:$C$24,2,0),1))</f>
        <v/>
      </c>
      <c r="H277" s="23" t="str">
        <f aca="false">IF(G277="","",G277/100*INDEX(Alimentos!$E$5:$E$40,MATCH($D277,Alimentos!$B$5:$B$40,0)))</f>
        <v/>
      </c>
      <c r="I277" s="23" t="str">
        <f aca="false">IF(G277="","",G277/100*INDEX(Alimentos!$F$5:$F$40,MATCH($D277,Alimentos!$B$5:$B$40,0)))</f>
        <v/>
      </c>
      <c r="J277" s="23" t="str">
        <f aca="false">IF(G277="","",G277/100*INDEX(Alimentos!$G$5:$G$40,MATCH($D277,Alimentos!$B$5:$B$40,0)))</f>
        <v/>
      </c>
      <c r="K277" s="23" t="str">
        <f aca="false">IF(G277="","",G277/100*INDEX(Alimentos!$H$5:$H$40,MATCH($D277,Alimentos!$B$5:$B$40,0)))</f>
        <v/>
      </c>
      <c r="L277" s="24" t="str">
        <f aca="false">IF(OR(A277="",B277=""),"",Perfil!$C$13+(A277-1)*7+MATCH(B277,{"Lunes","Martes","Miércoles","Jueves","Viernes","Sábado","Domingo"},0)-1)</f>
        <v/>
      </c>
    </row>
    <row r="278" customFormat="false" ht="15" hidden="false" customHeight="false" outlineLevel="0" collapsed="false">
      <c r="G278" s="23" t="str">
        <f aca="false">IF(OR(D278="",E278=""),"",E278*IFERROR(VLOOKUP(F278,Perfil!$B$19:$C$24,2,0),1))</f>
        <v/>
      </c>
      <c r="H278" s="23" t="str">
        <f aca="false">IF(G278="","",G278/100*INDEX(Alimentos!$E$5:$E$40,MATCH($D278,Alimentos!$B$5:$B$40,0)))</f>
        <v/>
      </c>
      <c r="I278" s="23" t="str">
        <f aca="false">IF(G278="","",G278/100*INDEX(Alimentos!$F$5:$F$40,MATCH($D278,Alimentos!$B$5:$B$40,0)))</f>
        <v/>
      </c>
      <c r="J278" s="23" t="str">
        <f aca="false">IF(G278="","",G278/100*INDEX(Alimentos!$G$5:$G$40,MATCH($D278,Alimentos!$B$5:$B$40,0)))</f>
        <v/>
      </c>
      <c r="K278" s="23" t="str">
        <f aca="false">IF(G278="","",G278/100*INDEX(Alimentos!$H$5:$H$40,MATCH($D278,Alimentos!$B$5:$B$40,0)))</f>
        <v/>
      </c>
      <c r="L278" s="24" t="str">
        <f aca="false">IF(OR(A278="",B278=""),"",Perfil!$C$13+(A278-1)*7+MATCH(B278,{"Lunes","Martes","Miércoles","Jueves","Viernes","Sábado","Domingo"},0)-1)</f>
        <v/>
      </c>
    </row>
    <row r="279" customFormat="false" ht="15" hidden="false" customHeight="false" outlineLevel="0" collapsed="false">
      <c r="G279" s="23" t="str">
        <f aca="false">IF(OR(D279="",E279=""),"",E279*IFERROR(VLOOKUP(F279,Perfil!$B$19:$C$24,2,0),1))</f>
        <v/>
      </c>
      <c r="H279" s="23" t="str">
        <f aca="false">IF(G279="","",G279/100*INDEX(Alimentos!$E$5:$E$40,MATCH($D279,Alimentos!$B$5:$B$40,0)))</f>
        <v/>
      </c>
      <c r="I279" s="23" t="str">
        <f aca="false">IF(G279="","",G279/100*INDEX(Alimentos!$F$5:$F$40,MATCH($D279,Alimentos!$B$5:$B$40,0)))</f>
        <v/>
      </c>
      <c r="J279" s="23" t="str">
        <f aca="false">IF(G279="","",G279/100*INDEX(Alimentos!$G$5:$G$40,MATCH($D279,Alimentos!$B$5:$B$40,0)))</f>
        <v/>
      </c>
      <c r="K279" s="23" t="str">
        <f aca="false">IF(G279="","",G279/100*INDEX(Alimentos!$H$5:$H$40,MATCH($D279,Alimentos!$B$5:$B$40,0)))</f>
        <v/>
      </c>
      <c r="L279" s="24" t="str">
        <f aca="false">IF(OR(A279="",B279=""),"",Perfil!$C$13+(A279-1)*7+MATCH(B279,{"Lunes","Martes","Miércoles","Jueves","Viernes","Sábado","Domingo"},0)-1)</f>
        <v/>
      </c>
    </row>
    <row r="280" customFormat="false" ht="15" hidden="false" customHeight="false" outlineLevel="0" collapsed="false">
      <c r="G280" s="23" t="str">
        <f aca="false">IF(OR(D280="",E280=""),"",E280*IFERROR(VLOOKUP(F280,Perfil!$B$19:$C$24,2,0),1))</f>
        <v/>
      </c>
      <c r="H280" s="23" t="str">
        <f aca="false">IF(G280="","",G280/100*INDEX(Alimentos!$E$5:$E$40,MATCH($D280,Alimentos!$B$5:$B$40,0)))</f>
        <v/>
      </c>
      <c r="I280" s="23" t="str">
        <f aca="false">IF(G280="","",G280/100*INDEX(Alimentos!$F$5:$F$40,MATCH($D280,Alimentos!$B$5:$B$40,0)))</f>
        <v/>
      </c>
      <c r="J280" s="23" t="str">
        <f aca="false">IF(G280="","",G280/100*INDEX(Alimentos!$G$5:$G$40,MATCH($D280,Alimentos!$B$5:$B$40,0)))</f>
        <v/>
      </c>
      <c r="K280" s="23" t="str">
        <f aca="false">IF(G280="","",G280/100*INDEX(Alimentos!$H$5:$H$40,MATCH($D280,Alimentos!$B$5:$B$40,0)))</f>
        <v/>
      </c>
      <c r="L280" s="24" t="str">
        <f aca="false">IF(OR(A280="",B280=""),"",Perfil!$C$13+(A280-1)*7+MATCH(B280,{"Lunes","Martes","Miércoles","Jueves","Viernes","Sábado","Domingo"},0)-1)</f>
        <v/>
      </c>
    </row>
    <row r="281" customFormat="false" ht="15" hidden="false" customHeight="false" outlineLevel="0" collapsed="false">
      <c r="G281" s="23" t="str">
        <f aca="false">IF(OR(D281="",E281=""),"",E281*IFERROR(VLOOKUP(F281,Perfil!$B$19:$C$24,2,0),1))</f>
        <v/>
      </c>
      <c r="H281" s="23" t="str">
        <f aca="false">IF(G281="","",G281/100*INDEX(Alimentos!$E$5:$E$40,MATCH($D281,Alimentos!$B$5:$B$40,0)))</f>
        <v/>
      </c>
      <c r="I281" s="23" t="str">
        <f aca="false">IF(G281="","",G281/100*INDEX(Alimentos!$F$5:$F$40,MATCH($D281,Alimentos!$B$5:$B$40,0)))</f>
        <v/>
      </c>
      <c r="J281" s="23" t="str">
        <f aca="false">IF(G281="","",G281/100*INDEX(Alimentos!$G$5:$G$40,MATCH($D281,Alimentos!$B$5:$B$40,0)))</f>
        <v/>
      </c>
      <c r="K281" s="23" t="str">
        <f aca="false">IF(G281="","",G281/100*INDEX(Alimentos!$H$5:$H$40,MATCH($D281,Alimentos!$B$5:$B$40,0)))</f>
        <v/>
      </c>
      <c r="L281" s="24" t="str">
        <f aca="false">IF(OR(A281="",B281=""),"",Perfil!$C$13+(A281-1)*7+MATCH(B281,{"Lunes","Martes","Miércoles","Jueves","Viernes","Sábado","Domingo"},0)-1)</f>
        <v/>
      </c>
    </row>
    <row r="282" customFormat="false" ht="15" hidden="false" customHeight="false" outlineLevel="0" collapsed="false">
      <c r="G282" s="23" t="str">
        <f aca="false">IF(OR(D282="",E282=""),"",E282*IFERROR(VLOOKUP(F282,Perfil!$B$19:$C$24,2,0),1))</f>
        <v/>
      </c>
      <c r="H282" s="23" t="str">
        <f aca="false">IF(G282="","",G282/100*INDEX(Alimentos!$E$5:$E$40,MATCH($D282,Alimentos!$B$5:$B$40,0)))</f>
        <v/>
      </c>
      <c r="I282" s="23" t="str">
        <f aca="false">IF(G282="","",G282/100*INDEX(Alimentos!$F$5:$F$40,MATCH($D282,Alimentos!$B$5:$B$40,0)))</f>
        <v/>
      </c>
      <c r="J282" s="23" t="str">
        <f aca="false">IF(G282="","",G282/100*INDEX(Alimentos!$G$5:$G$40,MATCH($D282,Alimentos!$B$5:$B$40,0)))</f>
        <v/>
      </c>
      <c r="K282" s="23" t="str">
        <f aca="false">IF(G282="","",G282/100*INDEX(Alimentos!$H$5:$H$40,MATCH($D282,Alimentos!$B$5:$B$40,0)))</f>
        <v/>
      </c>
      <c r="L282" s="24" t="str">
        <f aca="false">IF(OR(A282="",B282=""),"",Perfil!$C$13+(A282-1)*7+MATCH(B282,{"Lunes","Martes","Miércoles","Jueves","Viernes","Sábado","Domingo"},0)-1)</f>
        <v/>
      </c>
    </row>
    <row r="283" customFormat="false" ht="15" hidden="false" customHeight="false" outlineLevel="0" collapsed="false">
      <c r="G283" s="23" t="str">
        <f aca="false">IF(OR(D283="",E283=""),"",E283*IFERROR(VLOOKUP(F283,Perfil!$B$19:$C$24,2,0),1))</f>
        <v/>
      </c>
      <c r="H283" s="23" t="str">
        <f aca="false">IF(G283="","",G283/100*INDEX(Alimentos!$E$5:$E$40,MATCH($D283,Alimentos!$B$5:$B$40,0)))</f>
        <v/>
      </c>
      <c r="I283" s="23" t="str">
        <f aca="false">IF(G283="","",G283/100*INDEX(Alimentos!$F$5:$F$40,MATCH($D283,Alimentos!$B$5:$B$40,0)))</f>
        <v/>
      </c>
      <c r="J283" s="23" t="str">
        <f aca="false">IF(G283="","",G283/100*INDEX(Alimentos!$G$5:$G$40,MATCH($D283,Alimentos!$B$5:$B$40,0)))</f>
        <v/>
      </c>
      <c r="K283" s="23" t="str">
        <f aca="false">IF(G283="","",G283/100*INDEX(Alimentos!$H$5:$H$40,MATCH($D283,Alimentos!$B$5:$B$40,0)))</f>
        <v/>
      </c>
      <c r="L283" s="24" t="str">
        <f aca="false">IF(OR(A283="",B283=""),"",Perfil!$C$13+(A283-1)*7+MATCH(B283,{"Lunes","Martes","Miércoles","Jueves","Viernes","Sábado","Domingo"},0)-1)</f>
        <v/>
      </c>
    </row>
    <row r="284" customFormat="false" ht="15" hidden="false" customHeight="false" outlineLevel="0" collapsed="false">
      <c r="G284" s="23" t="str">
        <f aca="false">IF(OR(D284="",E284=""),"",E284*IFERROR(VLOOKUP(F284,Perfil!$B$19:$C$24,2,0),1))</f>
        <v/>
      </c>
      <c r="H284" s="23" t="str">
        <f aca="false">IF(G284="","",G284/100*INDEX(Alimentos!$E$5:$E$40,MATCH($D284,Alimentos!$B$5:$B$40,0)))</f>
        <v/>
      </c>
      <c r="I284" s="23" t="str">
        <f aca="false">IF(G284="","",G284/100*INDEX(Alimentos!$F$5:$F$40,MATCH($D284,Alimentos!$B$5:$B$40,0)))</f>
        <v/>
      </c>
      <c r="J284" s="23" t="str">
        <f aca="false">IF(G284="","",G284/100*INDEX(Alimentos!$G$5:$G$40,MATCH($D284,Alimentos!$B$5:$B$40,0)))</f>
        <v/>
      </c>
      <c r="K284" s="23" t="str">
        <f aca="false">IF(G284="","",G284/100*INDEX(Alimentos!$H$5:$H$40,MATCH($D284,Alimentos!$B$5:$B$40,0)))</f>
        <v/>
      </c>
      <c r="L284" s="24" t="str">
        <f aca="false">IF(OR(A284="",B284=""),"",Perfil!$C$13+(A284-1)*7+MATCH(B284,{"Lunes","Martes","Miércoles","Jueves","Viernes","Sábado","Domingo"},0)-1)</f>
        <v/>
      </c>
    </row>
    <row r="285" customFormat="false" ht="15" hidden="false" customHeight="false" outlineLevel="0" collapsed="false">
      <c r="G285" s="23" t="str">
        <f aca="false">IF(OR(D285="",E285=""),"",E285*IFERROR(VLOOKUP(F285,Perfil!$B$19:$C$24,2,0),1))</f>
        <v/>
      </c>
      <c r="H285" s="23" t="str">
        <f aca="false">IF(G285="","",G285/100*INDEX(Alimentos!$E$5:$E$40,MATCH($D285,Alimentos!$B$5:$B$40,0)))</f>
        <v/>
      </c>
      <c r="I285" s="23" t="str">
        <f aca="false">IF(G285="","",G285/100*INDEX(Alimentos!$F$5:$F$40,MATCH($D285,Alimentos!$B$5:$B$40,0)))</f>
        <v/>
      </c>
      <c r="J285" s="23" t="str">
        <f aca="false">IF(G285="","",G285/100*INDEX(Alimentos!$G$5:$G$40,MATCH($D285,Alimentos!$B$5:$B$40,0)))</f>
        <v/>
      </c>
      <c r="K285" s="23" t="str">
        <f aca="false">IF(G285="","",G285/100*INDEX(Alimentos!$H$5:$H$40,MATCH($D285,Alimentos!$B$5:$B$40,0)))</f>
        <v/>
      </c>
      <c r="L285" s="24" t="str">
        <f aca="false">IF(OR(A285="",B285=""),"",Perfil!$C$13+(A285-1)*7+MATCH(B285,{"Lunes","Martes","Miércoles","Jueves","Viernes","Sábado","Domingo"},0)-1)</f>
        <v/>
      </c>
    </row>
    <row r="286" customFormat="false" ht="15" hidden="false" customHeight="false" outlineLevel="0" collapsed="false">
      <c r="G286" s="23" t="str">
        <f aca="false">IF(OR(D286="",E286=""),"",E286*IFERROR(VLOOKUP(F286,Perfil!$B$19:$C$24,2,0),1))</f>
        <v/>
      </c>
      <c r="H286" s="23" t="str">
        <f aca="false">IF(G286="","",G286/100*INDEX(Alimentos!$E$5:$E$40,MATCH($D286,Alimentos!$B$5:$B$40,0)))</f>
        <v/>
      </c>
      <c r="I286" s="23" t="str">
        <f aca="false">IF(G286="","",G286/100*INDEX(Alimentos!$F$5:$F$40,MATCH($D286,Alimentos!$B$5:$B$40,0)))</f>
        <v/>
      </c>
      <c r="J286" s="23" t="str">
        <f aca="false">IF(G286="","",G286/100*INDEX(Alimentos!$G$5:$G$40,MATCH($D286,Alimentos!$B$5:$B$40,0)))</f>
        <v/>
      </c>
      <c r="K286" s="23" t="str">
        <f aca="false">IF(G286="","",G286/100*INDEX(Alimentos!$H$5:$H$40,MATCH($D286,Alimentos!$B$5:$B$40,0)))</f>
        <v/>
      </c>
      <c r="L286" s="24" t="str">
        <f aca="false">IF(OR(A286="",B286=""),"",Perfil!$C$13+(A286-1)*7+MATCH(B286,{"Lunes","Martes","Miércoles","Jueves","Viernes","Sábado","Domingo"},0)-1)</f>
        <v/>
      </c>
    </row>
    <row r="287" customFormat="false" ht="15" hidden="false" customHeight="false" outlineLevel="0" collapsed="false">
      <c r="G287" s="23" t="str">
        <f aca="false">IF(OR(D287="",E287=""),"",E287*IFERROR(VLOOKUP(F287,Perfil!$B$19:$C$24,2,0),1))</f>
        <v/>
      </c>
      <c r="H287" s="23" t="str">
        <f aca="false">IF(G287="","",G287/100*INDEX(Alimentos!$E$5:$E$40,MATCH($D287,Alimentos!$B$5:$B$40,0)))</f>
        <v/>
      </c>
      <c r="I287" s="23" t="str">
        <f aca="false">IF(G287="","",G287/100*INDEX(Alimentos!$F$5:$F$40,MATCH($D287,Alimentos!$B$5:$B$40,0)))</f>
        <v/>
      </c>
      <c r="J287" s="23" t="str">
        <f aca="false">IF(G287="","",G287/100*INDEX(Alimentos!$G$5:$G$40,MATCH($D287,Alimentos!$B$5:$B$40,0)))</f>
        <v/>
      </c>
      <c r="K287" s="23" t="str">
        <f aca="false">IF(G287="","",G287/100*INDEX(Alimentos!$H$5:$H$40,MATCH($D287,Alimentos!$B$5:$B$40,0)))</f>
        <v/>
      </c>
      <c r="L287" s="24" t="str">
        <f aca="false">IF(OR(A287="",B287=""),"",Perfil!$C$13+(A287-1)*7+MATCH(B287,{"Lunes","Martes","Miércoles","Jueves","Viernes","Sábado","Domingo"},0)-1)</f>
        <v/>
      </c>
    </row>
    <row r="288" customFormat="false" ht="15" hidden="false" customHeight="false" outlineLevel="0" collapsed="false">
      <c r="G288" s="23" t="str">
        <f aca="false">IF(OR(D288="",E288=""),"",E288*IFERROR(VLOOKUP(F288,Perfil!$B$19:$C$24,2,0),1))</f>
        <v/>
      </c>
      <c r="H288" s="23" t="str">
        <f aca="false">IF(G288="","",G288/100*INDEX(Alimentos!$E$5:$E$40,MATCH($D288,Alimentos!$B$5:$B$40,0)))</f>
        <v/>
      </c>
      <c r="I288" s="23" t="str">
        <f aca="false">IF(G288="","",G288/100*INDEX(Alimentos!$F$5:$F$40,MATCH($D288,Alimentos!$B$5:$B$40,0)))</f>
        <v/>
      </c>
      <c r="J288" s="23" t="str">
        <f aca="false">IF(G288="","",G288/100*INDEX(Alimentos!$G$5:$G$40,MATCH($D288,Alimentos!$B$5:$B$40,0)))</f>
        <v/>
      </c>
      <c r="K288" s="23" t="str">
        <f aca="false">IF(G288="","",G288/100*INDEX(Alimentos!$H$5:$H$40,MATCH($D288,Alimentos!$B$5:$B$40,0)))</f>
        <v/>
      </c>
      <c r="L288" s="24" t="str">
        <f aca="false">IF(OR(A288="",B288=""),"",Perfil!$C$13+(A288-1)*7+MATCH(B288,{"Lunes","Martes","Miércoles","Jueves","Viernes","Sábado","Domingo"},0)-1)</f>
        <v/>
      </c>
    </row>
    <row r="289" customFormat="false" ht="15" hidden="false" customHeight="false" outlineLevel="0" collapsed="false">
      <c r="G289" s="23" t="str">
        <f aca="false">IF(OR(D289="",E289=""),"",E289*IFERROR(VLOOKUP(F289,Perfil!$B$19:$C$24,2,0),1))</f>
        <v/>
      </c>
      <c r="H289" s="23" t="str">
        <f aca="false">IF(G289="","",G289/100*INDEX(Alimentos!$E$5:$E$40,MATCH($D289,Alimentos!$B$5:$B$40,0)))</f>
        <v/>
      </c>
      <c r="I289" s="23" t="str">
        <f aca="false">IF(G289="","",G289/100*INDEX(Alimentos!$F$5:$F$40,MATCH($D289,Alimentos!$B$5:$B$40,0)))</f>
        <v/>
      </c>
      <c r="J289" s="23" t="str">
        <f aca="false">IF(G289="","",G289/100*INDEX(Alimentos!$G$5:$G$40,MATCH($D289,Alimentos!$B$5:$B$40,0)))</f>
        <v/>
      </c>
      <c r="K289" s="23" t="str">
        <f aca="false">IF(G289="","",G289/100*INDEX(Alimentos!$H$5:$H$40,MATCH($D289,Alimentos!$B$5:$B$40,0)))</f>
        <v/>
      </c>
      <c r="L289" s="24" t="str">
        <f aca="false">IF(OR(A289="",B289=""),"",Perfil!$C$13+(A289-1)*7+MATCH(B289,{"Lunes","Martes","Miércoles","Jueves","Viernes","Sábado","Domingo"},0)-1)</f>
        <v/>
      </c>
    </row>
    <row r="290" customFormat="false" ht="15" hidden="false" customHeight="false" outlineLevel="0" collapsed="false">
      <c r="G290" s="23" t="str">
        <f aca="false">IF(OR(D290="",E290=""),"",E290*IFERROR(VLOOKUP(F290,Perfil!$B$19:$C$24,2,0),1))</f>
        <v/>
      </c>
      <c r="H290" s="23" t="str">
        <f aca="false">IF(G290="","",G290/100*INDEX(Alimentos!$E$5:$E$40,MATCH($D290,Alimentos!$B$5:$B$40,0)))</f>
        <v/>
      </c>
      <c r="I290" s="23" t="str">
        <f aca="false">IF(G290="","",G290/100*INDEX(Alimentos!$F$5:$F$40,MATCH($D290,Alimentos!$B$5:$B$40,0)))</f>
        <v/>
      </c>
      <c r="J290" s="23" t="str">
        <f aca="false">IF(G290="","",G290/100*INDEX(Alimentos!$G$5:$G$40,MATCH($D290,Alimentos!$B$5:$B$40,0)))</f>
        <v/>
      </c>
      <c r="K290" s="23" t="str">
        <f aca="false">IF(G290="","",G290/100*INDEX(Alimentos!$H$5:$H$40,MATCH($D290,Alimentos!$B$5:$B$40,0)))</f>
        <v/>
      </c>
      <c r="L290" s="24" t="str">
        <f aca="false">IF(OR(A290="",B290=""),"",Perfil!$C$13+(A290-1)*7+MATCH(B290,{"Lunes","Martes","Miércoles","Jueves","Viernes","Sábado","Domingo"},0)-1)</f>
        <v/>
      </c>
    </row>
    <row r="291" customFormat="false" ht="15" hidden="false" customHeight="false" outlineLevel="0" collapsed="false">
      <c r="G291" s="23" t="str">
        <f aca="false">IF(OR(D291="",E291=""),"",E291*IFERROR(VLOOKUP(F291,Perfil!$B$19:$C$24,2,0),1))</f>
        <v/>
      </c>
      <c r="H291" s="23" t="str">
        <f aca="false">IF(G291="","",G291/100*INDEX(Alimentos!$E$5:$E$40,MATCH($D291,Alimentos!$B$5:$B$40,0)))</f>
        <v/>
      </c>
      <c r="I291" s="23" t="str">
        <f aca="false">IF(G291="","",G291/100*INDEX(Alimentos!$F$5:$F$40,MATCH($D291,Alimentos!$B$5:$B$40,0)))</f>
        <v/>
      </c>
      <c r="J291" s="23" t="str">
        <f aca="false">IF(G291="","",G291/100*INDEX(Alimentos!$G$5:$G$40,MATCH($D291,Alimentos!$B$5:$B$40,0)))</f>
        <v/>
      </c>
      <c r="K291" s="23" t="str">
        <f aca="false">IF(G291="","",G291/100*INDEX(Alimentos!$H$5:$H$40,MATCH($D291,Alimentos!$B$5:$B$40,0)))</f>
        <v/>
      </c>
      <c r="L291" s="24" t="str">
        <f aca="false">IF(OR(A291="",B291=""),"",Perfil!$C$13+(A291-1)*7+MATCH(B291,{"Lunes","Martes","Miércoles","Jueves","Viernes","Sábado","Domingo"},0)-1)</f>
        <v/>
      </c>
    </row>
    <row r="292" customFormat="false" ht="15" hidden="false" customHeight="false" outlineLevel="0" collapsed="false">
      <c r="G292" s="23" t="str">
        <f aca="false">IF(OR(D292="",E292=""),"",E292*IFERROR(VLOOKUP(F292,Perfil!$B$19:$C$24,2,0),1))</f>
        <v/>
      </c>
      <c r="H292" s="23" t="str">
        <f aca="false">IF(G292="","",G292/100*INDEX(Alimentos!$E$5:$E$40,MATCH($D292,Alimentos!$B$5:$B$40,0)))</f>
        <v/>
      </c>
      <c r="I292" s="23" t="str">
        <f aca="false">IF(G292="","",G292/100*INDEX(Alimentos!$F$5:$F$40,MATCH($D292,Alimentos!$B$5:$B$40,0)))</f>
        <v/>
      </c>
      <c r="J292" s="23" t="str">
        <f aca="false">IF(G292="","",G292/100*INDEX(Alimentos!$G$5:$G$40,MATCH($D292,Alimentos!$B$5:$B$40,0)))</f>
        <v/>
      </c>
      <c r="K292" s="23" t="str">
        <f aca="false">IF(G292="","",G292/100*INDEX(Alimentos!$H$5:$H$40,MATCH($D292,Alimentos!$B$5:$B$40,0)))</f>
        <v/>
      </c>
      <c r="L292" s="24" t="str">
        <f aca="false">IF(OR(A292="",B292=""),"",Perfil!$C$13+(A292-1)*7+MATCH(B292,{"Lunes","Martes","Miércoles","Jueves","Viernes","Sábado","Domingo"},0)-1)</f>
        <v/>
      </c>
    </row>
    <row r="293" customFormat="false" ht="15" hidden="false" customHeight="false" outlineLevel="0" collapsed="false">
      <c r="G293" s="23" t="str">
        <f aca="false">IF(OR(D293="",E293=""),"",E293*IFERROR(VLOOKUP(F293,Perfil!$B$19:$C$24,2,0),1))</f>
        <v/>
      </c>
      <c r="H293" s="23" t="str">
        <f aca="false">IF(G293="","",G293/100*INDEX(Alimentos!$E$5:$E$40,MATCH($D293,Alimentos!$B$5:$B$40,0)))</f>
        <v/>
      </c>
      <c r="I293" s="23" t="str">
        <f aca="false">IF(G293="","",G293/100*INDEX(Alimentos!$F$5:$F$40,MATCH($D293,Alimentos!$B$5:$B$40,0)))</f>
        <v/>
      </c>
      <c r="J293" s="23" t="str">
        <f aca="false">IF(G293="","",G293/100*INDEX(Alimentos!$G$5:$G$40,MATCH($D293,Alimentos!$B$5:$B$40,0)))</f>
        <v/>
      </c>
      <c r="K293" s="23" t="str">
        <f aca="false">IF(G293="","",G293/100*INDEX(Alimentos!$H$5:$H$40,MATCH($D293,Alimentos!$B$5:$B$40,0)))</f>
        <v/>
      </c>
      <c r="L293" s="24" t="str">
        <f aca="false">IF(OR(A293="",B293=""),"",Perfil!$C$13+(A293-1)*7+MATCH(B293,{"Lunes","Martes","Miércoles","Jueves","Viernes","Sábado","Domingo"},0)-1)</f>
        <v/>
      </c>
    </row>
    <row r="294" customFormat="false" ht="15" hidden="false" customHeight="false" outlineLevel="0" collapsed="false">
      <c r="G294" s="23" t="str">
        <f aca="false">IF(OR(D294="",E294=""),"",E294*IFERROR(VLOOKUP(F294,Perfil!$B$19:$C$24,2,0),1))</f>
        <v/>
      </c>
      <c r="H294" s="23" t="str">
        <f aca="false">IF(G294="","",G294/100*INDEX(Alimentos!$E$5:$E$40,MATCH($D294,Alimentos!$B$5:$B$40,0)))</f>
        <v/>
      </c>
      <c r="I294" s="23" t="str">
        <f aca="false">IF(G294="","",G294/100*INDEX(Alimentos!$F$5:$F$40,MATCH($D294,Alimentos!$B$5:$B$40,0)))</f>
        <v/>
      </c>
      <c r="J294" s="23" t="str">
        <f aca="false">IF(G294="","",G294/100*INDEX(Alimentos!$G$5:$G$40,MATCH($D294,Alimentos!$B$5:$B$40,0)))</f>
        <v/>
      </c>
      <c r="K294" s="23" t="str">
        <f aca="false">IF(G294="","",G294/100*INDEX(Alimentos!$H$5:$H$40,MATCH($D294,Alimentos!$B$5:$B$40,0)))</f>
        <v/>
      </c>
      <c r="L294" s="24" t="str">
        <f aca="false">IF(OR(A294="",B294=""),"",Perfil!$C$13+(A294-1)*7+MATCH(B294,{"Lunes","Martes","Miércoles","Jueves","Viernes","Sábado","Domingo"},0)-1)</f>
        <v/>
      </c>
    </row>
    <row r="295" customFormat="false" ht="15" hidden="false" customHeight="false" outlineLevel="0" collapsed="false">
      <c r="G295" s="23" t="str">
        <f aca="false">IF(OR(D295="",E295=""),"",E295*IFERROR(VLOOKUP(F295,Perfil!$B$19:$C$24,2,0),1))</f>
        <v/>
      </c>
      <c r="H295" s="23" t="str">
        <f aca="false">IF(G295="","",G295/100*INDEX(Alimentos!$E$5:$E$40,MATCH($D295,Alimentos!$B$5:$B$40,0)))</f>
        <v/>
      </c>
      <c r="I295" s="23" t="str">
        <f aca="false">IF(G295="","",G295/100*INDEX(Alimentos!$F$5:$F$40,MATCH($D295,Alimentos!$B$5:$B$40,0)))</f>
        <v/>
      </c>
      <c r="J295" s="23" t="str">
        <f aca="false">IF(G295="","",G295/100*INDEX(Alimentos!$G$5:$G$40,MATCH($D295,Alimentos!$B$5:$B$40,0)))</f>
        <v/>
      </c>
      <c r="K295" s="23" t="str">
        <f aca="false">IF(G295="","",G295/100*INDEX(Alimentos!$H$5:$H$40,MATCH($D295,Alimentos!$B$5:$B$40,0)))</f>
        <v/>
      </c>
      <c r="L295" s="24" t="str">
        <f aca="false">IF(OR(A295="",B295=""),"",Perfil!$C$13+(A295-1)*7+MATCH(B295,{"Lunes","Martes","Miércoles","Jueves","Viernes","Sábado","Domingo"},0)-1)</f>
        <v/>
      </c>
    </row>
    <row r="296" customFormat="false" ht="15" hidden="false" customHeight="false" outlineLevel="0" collapsed="false">
      <c r="G296" s="23" t="str">
        <f aca="false">IF(OR(D296="",E296=""),"",E296*IFERROR(VLOOKUP(F296,Perfil!$B$19:$C$24,2,0),1))</f>
        <v/>
      </c>
      <c r="H296" s="23" t="str">
        <f aca="false">IF(G296="","",G296/100*INDEX(Alimentos!$E$5:$E$40,MATCH($D296,Alimentos!$B$5:$B$40,0)))</f>
        <v/>
      </c>
      <c r="I296" s="23" t="str">
        <f aca="false">IF(G296="","",G296/100*INDEX(Alimentos!$F$5:$F$40,MATCH($D296,Alimentos!$B$5:$B$40,0)))</f>
        <v/>
      </c>
      <c r="J296" s="23" t="str">
        <f aca="false">IF(G296="","",G296/100*INDEX(Alimentos!$G$5:$G$40,MATCH($D296,Alimentos!$B$5:$B$40,0)))</f>
        <v/>
      </c>
      <c r="K296" s="23" t="str">
        <f aca="false">IF(G296="","",G296/100*INDEX(Alimentos!$H$5:$H$40,MATCH($D296,Alimentos!$B$5:$B$40,0)))</f>
        <v/>
      </c>
      <c r="L296" s="24" t="str">
        <f aca="false">IF(OR(A296="",B296=""),"",Perfil!$C$13+(A296-1)*7+MATCH(B296,{"Lunes","Martes","Miércoles","Jueves","Viernes","Sábado","Domingo"},0)-1)</f>
        <v/>
      </c>
    </row>
    <row r="297" customFormat="false" ht="15" hidden="false" customHeight="false" outlineLevel="0" collapsed="false">
      <c r="G297" s="23" t="str">
        <f aca="false">IF(OR(D297="",E297=""),"",E297*IFERROR(VLOOKUP(F297,Perfil!$B$19:$C$24,2,0),1))</f>
        <v/>
      </c>
      <c r="H297" s="23" t="str">
        <f aca="false">IF(G297="","",G297/100*INDEX(Alimentos!$E$5:$E$40,MATCH($D297,Alimentos!$B$5:$B$40,0)))</f>
        <v/>
      </c>
      <c r="I297" s="23" t="str">
        <f aca="false">IF(G297="","",G297/100*INDEX(Alimentos!$F$5:$F$40,MATCH($D297,Alimentos!$B$5:$B$40,0)))</f>
        <v/>
      </c>
      <c r="J297" s="23" t="str">
        <f aca="false">IF(G297="","",G297/100*INDEX(Alimentos!$G$5:$G$40,MATCH($D297,Alimentos!$B$5:$B$40,0)))</f>
        <v/>
      </c>
      <c r="K297" s="23" t="str">
        <f aca="false">IF(G297="","",G297/100*INDEX(Alimentos!$H$5:$H$40,MATCH($D297,Alimentos!$B$5:$B$40,0)))</f>
        <v/>
      </c>
      <c r="L297" s="24" t="str">
        <f aca="false">IF(OR(A297="",B297=""),"",Perfil!$C$13+(A297-1)*7+MATCH(B297,{"Lunes","Martes","Miércoles","Jueves","Viernes","Sábado","Domingo"},0)-1)</f>
        <v/>
      </c>
    </row>
    <row r="298" customFormat="false" ht="15" hidden="false" customHeight="false" outlineLevel="0" collapsed="false">
      <c r="G298" s="23" t="str">
        <f aca="false">IF(OR(D298="",E298=""),"",E298*IFERROR(VLOOKUP(F298,Perfil!$B$19:$C$24,2,0),1))</f>
        <v/>
      </c>
      <c r="H298" s="23" t="str">
        <f aca="false">IF(G298="","",G298/100*INDEX(Alimentos!$E$5:$E$40,MATCH($D298,Alimentos!$B$5:$B$40,0)))</f>
        <v/>
      </c>
      <c r="I298" s="23" t="str">
        <f aca="false">IF(G298="","",G298/100*INDEX(Alimentos!$F$5:$F$40,MATCH($D298,Alimentos!$B$5:$B$40,0)))</f>
        <v/>
      </c>
      <c r="J298" s="23" t="str">
        <f aca="false">IF(G298="","",G298/100*INDEX(Alimentos!$G$5:$G$40,MATCH($D298,Alimentos!$B$5:$B$40,0)))</f>
        <v/>
      </c>
      <c r="K298" s="23" t="str">
        <f aca="false">IF(G298="","",G298/100*INDEX(Alimentos!$H$5:$H$40,MATCH($D298,Alimentos!$B$5:$B$40,0)))</f>
        <v/>
      </c>
      <c r="L298" s="24" t="str">
        <f aca="false">IF(OR(A298="",B298=""),"",Perfil!$C$13+(A298-1)*7+MATCH(B298,{"Lunes","Martes","Miércoles","Jueves","Viernes","Sábado","Domingo"},0)-1)</f>
        <v/>
      </c>
    </row>
    <row r="299" customFormat="false" ht="15" hidden="false" customHeight="false" outlineLevel="0" collapsed="false">
      <c r="G299" s="23" t="str">
        <f aca="false">IF(OR(D299="",E299=""),"",E299*IFERROR(VLOOKUP(F299,Perfil!$B$19:$C$24,2,0),1))</f>
        <v/>
      </c>
      <c r="H299" s="23" t="str">
        <f aca="false">IF(G299="","",G299/100*INDEX(Alimentos!$E$5:$E$40,MATCH($D299,Alimentos!$B$5:$B$40,0)))</f>
        <v/>
      </c>
      <c r="I299" s="23" t="str">
        <f aca="false">IF(G299="","",G299/100*INDEX(Alimentos!$F$5:$F$40,MATCH($D299,Alimentos!$B$5:$B$40,0)))</f>
        <v/>
      </c>
      <c r="J299" s="23" t="str">
        <f aca="false">IF(G299="","",G299/100*INDEX(Alimentos!$G$5:$G$40,MATCH($D299,Alimentos!$B$5:$B$40,0)))</f>
        <v/>
      </c>
      <c r="K299" s="23" t="str">
        <f aca="false">IF(G299="","",G299/100*INDEX(Alimentos!$H$5:$H$40,MATCH($D299,Alimentos!$B$5:$B$40,0)))</f>
        <v/>
      </c>
      <c r="L299" s="24" t="str">
        <f aca="false">IF(OR(A299="",B299=""),"",Perfil!$C$13+(A299-1)*7+MATCH(B299,{"Lunes","Martes","Miércoles","Jueves","Viernes","Sábado","Domingo"},0)-1)</f>
        <v/>
      </c>
    </row>
    <row r="300" customFormat="false" ht="15" hidden="false" customHeight="false" outlineLevel="0" collapsed="false">
      <c r="G300" s="23" t="str">
        <f aca="false">IF(OR(D300="",E300=""),"",E300*IFERROR(VLOOKUP(F300,Perfil!$B$19:$C$24,2,0),1))</f>
        <v/>
      </c>
      <c r="H300" s="23" t="str">
        <f aca="false">IF(G300="","",G300/100*INDEX(Alimentos!$E$5:$E$40,MATCH($D300,Alimentos!$B$5:$B$40,0)))</f>
        <v/>
      </c>
      <c r="I300" s="23" t="str">
        <f aca="false">IF(G300="","",G300/100*INDEX(Alimentos!$F$5:$F$40,MATCH($D300,Alimentos!$B$5:$B$40,0)))</f>
        <v/>
      </c>
      <c r="J300" s="23" t="str">
        <f aca="false">IF(G300="","",G300/100*INDEX(Alimentos!$G$5:$G$40,MATCH($D300,Alimentos!$B$5:$B$40,0)))</f>
        <v/>
      </c>
      <c r="K300" s="23" t="str">
        <f aca="false">IF(G300="","",G300/100*INDEX(Alimentos!$H$5:$H$40,MATCH($D300,Alimentos!$B$5:$B$40,0)))</f>
        <v/>
      </c>
      <c r="L300" s="24" t="str">
        <f aca="false">IF(OR(A300="",B300=""),"",Perfil!$C$13+(A300-1)*7+MATCH(B300,{"Lunes","Martes","Miércoles","Jueves","Viernes","Sábado","Domingo"},0)-1)</f>
        <v/>
      </c>
    </row>
    <row r="301" customFormat="false" ht="15" hidden="false" customHeight="false" outlineLevel="0" collapsed="false">
      <c r="G301" s="23" t="str">
        <f aca="false">IF(OR(D301="",E301=""),"",E301*IFERROR(VLOOKUP(F301,Perfil!$B$19:$C$24,2,0),1))</f>
        <v/>
      </c>
      <c r="H301" s="23" t="str">
        <f aca="false">IF(G301="","",G301/100*INDEX(Alimentos!$E$5:$E$40,MATCH($D301,Alimentos!$B$5:$B$40,0)))</f>
        <v/>
      </c>
      <c r="I301" s="23" t="str">
        <f aca="false">IF(G301="","",G301/100*INDEX(Alimentos!$F$5:$F$40,MATCH($D301,Alimentos!$B$5:$B$40,0)))</f>
        <v/>
      </c>
      <c r="J301" s="23" t="str">
        <f aca="false">IF(G301="","",G301/100*INDEX(Alimentos!$G$5:$G$40,MATCH($D301,Alimentos!$B$5:$B$40,0)))</f>
        <v/>
      </c>
      <c r="K301" s="23" t="str">
        <f aca="false">IF(G301="","",G301/100*INDEX(Alimentos!$H$5:$H$40,MATCH($D301,Alimentos!$B$5:$B$40,0)))</f>
        <v/>
      </c>
      <c r="L301" s="24" t="str">
        <f aca="false">IF(OR(A301="",B301=""),"",Perfil!$C$13+(A301-1)*7+MATCH(B301,{"Lunes","Martes","Miércoles","Jueves","Viernes","Sábado","Domingo"},0)-1)</f>
        <v/>
      </c>
    </row>
    <row r="302" customFormat="false" ht="15" hidden="false" customHeight="false" outlineLevel="0" collapsed="false">
      <c r="G302" s="23" t="str">
        <f aca="false">IF(OR(D302="",E302=""),"",E302*IFERROR(VLOOKUP(F302,Perfil!$B$19:$C$24,2,0),1))</f>
        <v/>
      </c>
      <c r="H302" s="23" t="str">
        <f aca="false">IF(G302="","",G302/100*INDEX(Alimentos!$E$5:$E$40,MATCH($D302,Alimentos!$B$5:$B$40,0)))</f>
        <v/>
      </c>
      <c r="I302" s="23" t="str">
        <f aca="false">IF(G302="","",G302/100*INDEX(Alimentos!$F$5:$F$40,MATCH($D302,Alimentos!$B$5:$B$40,0)))</f>
        <v/>
      </c>
      <c r="J302" s="23" t="str">
        <f aca="false">IF(G302="","",G302/100*INDEX(Alimentos!$G$5:$G$40,MATCH($D302,Alimentos!$B$5:$B$40,0)))</f>
        <v/>
      </c>
      <c r="K302" s="23" t="str">
        <f aca="false">IF(G302="","",G302/100*INDEX(Alimentos!$H$5:$H$40,MATCH($D302,Alimentos!$B$5:$B$40,0)))</f>
        <v/>
      </c>
      <c r="L302" s="24" t="str">
        <f aca="false">IF(OR(A302="",B302=""),"",Perfil!$C$13+(A302-1)*7+MATCH(B302,{"Lunes","Martes","Miércoles","Jueves","Viernes","Sábado","Domingo"},0)-1)</f>
        <v/>
      </c>
    </row>
    <row r="303" customFormat="false" ht="15" hidden="false" customHeight="false" outlineLevel="0" collapsed="false">
      <c r="G303" s="23" t="str">
        <f aca="false">IF(OR(D303="",E303=""),"",E303*IFERROR(VLOOKUP(F303,Perfil!$B$19:$C$24,2,0),1))</f>
        <v/>
      </c>
      <c r="H303" s="23" t="str">
        <f aca="false">IF(G303="","",G303/100*INDEX(Alimentos!$E$5:$E$40,MATCH($D303,Alimentos!$B$5:$B$40,0)))</f>
        <v/>
      </c>
      <c r="I303" s="23" t="str">
        <f aca="false">IF(G303="","",G303/100*INDEX(Alimentos!$F$5:$F$40,MATCH($D303,Alimentos!$B$5:$B$40,0)))</f>
        <v/>
      </c>
      <c r="J303" s="23" t="str">
        <f aca="false">IF(G303="","",G303/100*INDEX(Alimentos!$G$5:$G$40,MATCH($D303,Alimentos!$B$5:$B$40,0)))</f>
        <v/>
      </c>
      <c r="K303" s="23" t="str">
        <f aca="false">IF(G303="","",G303/100*INDEX(Alimentos!$H$5:$H$40,MATCH($D303,Alimentos!$B$5:$B$40,0)))</f>
        <v/>
      </c>
      <c r="L303" s="24" t="str">
        <f aca="false">IF(OR(A303="",B303=""),"",Perfil!$C$13+(A303-1)*7+MATCH(B303,{"Lunes","Martes","Miércoles","Jueves","Viernes","Sábado","Domingo"},0)-1)</f>
        <v/>
      </c>
    </row>
    <row r="304" customFormat="false" ht="15" hidden="false" customHeight="false" outlineLevel="0" collapsed="false">
      <c r="G304" s="23" t="str">
        <f aca="false">IF(OR(D304="",E304=""),"",E304*IFERROR(VLOOKUP(F304,Perfil!$B$19:$C$24,2,0),1))</f>
        <v/>
      </c>
      <c r="H304" s="23" t="str">
        <f aca="false">IF(G304="","",G304/100*INDEX(Alimentos!$E$5:$E$40,MATCH($D304,Alimentos!$B$5:$B$40,0)))</f>
        <v/>
      </c>
      <c r="I304" s="23" t="str">
        <f aca="false">IF(G304="","",G304/100*INDEX(Alimentos!$F$5:$F$40,MATCH($D304,Alimentos!$B$5:$B$40,0)))</f>
        <v/>
      </c>
      <c r="J304" s="23" t="str">
        <f aca="false">IF(G304="","",G304/100*INDEX(Alimentos!$G$5:$G$40,MATCH($D304,Alimentos!$B$5:$B$40,0)))</f>
        <v/>
      </c>
      <c r="K304" s="23" t="str">
        <f aca="false">IF(G304="","",G304/100*INDEX(Alimentos!$H$5:$H$40,MATCH($D304,Alimentos!$B$5:$B$40,0)))</f>
        <v/>
      </c>
      <c r="L304" s="24" t="str">
        <f aca="false">IF(OR(A304="",B304=""),"",Perfil!$C$13+(A304-1)*7+MATCH(B304,{"Lunes","Martes","Miércoles","Jueves","Viernes","Sábado","Domingo"},0)-1)</f>
        <v/>
      </c>
    </row>
    <row r="305" customFormat="false" ht="15" hidden="false" customHeight="false" outlineLevel="0" collapsed="false">
      <c r="G305" s="23" t="str">
        <f aca="false">IF(OR(D305="",E305=""),"",E305*IFERROR(VLOOKUP(F305,Perfil!$B$19:$C$24,2,0),1))</f>
        <v/>
      </c>
      <c r="H305" s="23" t="str">
        <f aca="false">IF(G305="","",G305/100*INDEX(Alimentos!$E$5:$E$40,MATCH($D305,Alimentos!$B$5:$B$40,0)))</f>
        <v/>
      </c>
      <c r="I305" s="23" t="str">
        <f aca="false">IF(G305="","",G305/100*INDEX(Alimentos!$F$5:$F$40,MATCH($D305,Alimentos!$B$5:$B$40,0)))</f>
        <v/>
      </c>
      <c r="J305" s="23" t="str">
        <f aca="false">IF(G305="","",G305/100*INDEX(Alimentos!$G$5:$G$40,MATCH($D305,Alimentos!$B$5:$B$40,0)))</f>
        <v/>
      </c>
      <c r="K305" s="23" t="str">
        <f aca="false">IF(G305="","",G305/100*INDEX(Alimentos!$H$5:$H$40,MATCH($D305,Alimentos!$B$5:$B$40,0)))</f>
        <v/>
      </c>
      <c r="L305" s="24" t="str">
        <f aca="false">IF(OR(A305="",B305=""),"",Perfil!$C$13+(A305-1)*7+MATCH(B305,{"Lunes","Martes","Miércoles","Jueves","Viernes","Sábado","Domingo"},0)-1)</f>
        <v/>
      </c>
    </row>
    <row r="306" customFormat="false" ht="15" hidden="false" customHeight="false" outlineLevel="0" collapsed="false">
      <c r="G306" s="23" t="str">
        <f aca="false">IF(OR(D306="",E306=""),"",E306*IFERROR(VLOOKUP(F306,Perfil!$B$19:$C$24,2,0),1))</f>
        <v/>
      </c>
      <c r="H306" s="23" t="str">
        <f aca="false">IF(G306="","",G306/100*INDEX(Alimentos!$E$5:$E$40,MATCH($D306,Alimentos!$B$5:$B$40,0)))</f>
        <v/>
      </c>
      <c r="I306" s="23" t="str">
        <f aca="false">IF(G306="","",G306/100*INDEX(Alimentos!$F$5:$F$40,MATCH($D306,Alimentos!$B$5:$B$40,0)))</f>
        <v/>
      </c>
      <c r="J306" s="23" t="str">
        <f aca="false">IF(G306="","",G306/100*INDEX(Alimentos!$G$5:$G$40,MATCH($D306,Alimentos!$B$5:$B$40,0)))</f>
        <v/>
      </c>
      <c r="K306" s="23" t="str">
        <f aca="false">IF(G306="","",G306/100*INDEX(Alimentos!$H$5:$H$40,MATCH($D306,Alimentos!$B$5:$B$40,0)))</f>
        <v/>
      </c>
      <c r="L306" s="24" t="str">
        <f aca="false">IF(OR(A306="",B306=""),"",Perfil!$C$13+(A306-1)*7+MATCH(B306,{"Lunes","Martes","Miércoles","Jueves","Viernes","Sábado","Domingo"},0)-1)</f>
        <v/>
      </c>
    </row>
    <row r="307" customFormat="false" ht="15" hidden="false" customHeight="false" outlineLevel="0" collapsed="false">
      <c r="G307" s="23" t="str">
        <f aca="false">IF(OR(D307="",E307=""),"",E307*IFERROR(VLOOKUP(F307,Perfil!$B$19:$C$24,2,0),1))</f>
        <v/>
      </c>
      <c r="H307" s="23" t="str">
        <f aca="false">IF(G307="","",G307/100*INDEX(Alimentos!$E$5:$E$40,MATCH($D307,Alimentos!$B$5:$B$40,0)))</f>
        <v/>
      </c>
      <c r="I307" s="23" t="str">
        <f aca="false">IF(G307="","",G307/100*INDEX(Alimentos!$F$5:$F$40,MATCH($D307,Alimentos!$B$5:$B$40,0)))</f>
        <v/>
      </c>
      <c r="J307" s="23" t="str">
        <f aca="false">IF(G307="","",G307/100*INDEX(Alimentos!$G$5:$G$40,MATCH($D307,Alimentos!$B$5:$B$40,0)))</f>
        <v/>
      </c>
      <c r="K307" s="23" t="str">
        <f aca="false">IF(G307="","",G307/100*INDEX(Alimentos!$H$5:$H$40,MATCH($D307,Alimentos!$B$5:$B$40,0)))</f>
        <v/>
      </c>
      <c r="L307" s="24" t="str">
        <f aca="false">IF(OR(A307="",B307=""),"",Perfil!$C$13+(A307-1)*7+MATCH(B307,{"Lunes","Martes","Miércoles","Jueves","Viernes","Sábado","Domingo"},0)-1)</f>
        <v/>
      </c>
    </row>
    <row r="308" customFormat="false" ht="15" hidden="false" customHeight="false" outlineLevel="0" collapsed="false">
      <c r="G308" s="23" t="str">
        <f aca="false">IF(OR(D308="",E308=""),"",E308*IFERROR(VLOOKUP(F308,Perfil!$B$19:$C$24,2,0),1))</f>
        <v/>
      </c>
      <c r="H308" s="23" t="str">
        <f aca="false">IF(G308="","",G308/100*INDEX(Alimentos!$E$5:$E$40,MATCH($D308,Alimentos!$B$5:$B$40,0)))</f>
        <v/>
      </c>
      <c r="I308" s="23" t="str">
        <f aca="false">IF(G308="","",G308/100*INDEX(Alimentos!$F$5:$F$40,MATCH($D308,Alimentos!$B$5:$B$40,0)))</f>
        <v/>
      </c>
      <c r="J308" s="23" t="str">
        <f aca="false">IF(G308="","",G308/100*INDEX(Alimentos!$G$5:$G$40,MATCH($D308,Alimentos!$B$5:$B$40,0)))</f>
        <v/>
      </c>
      <c r="K308" s="23" t="str">
        <f aca="false">IF(G308="","",G308/100*INDEX(Alimentos!$H$5:$H$40,MATCH($D308,Alimentos!$B$5:$B$40,0)))</f>
        <v/>
      </c>
      <c r="L308" s="24" t="str">
        <f aca="false">IF(OR(A308="",B308=""),"",Perfil!$C$13+(A308-1)*7+MATCH(B308,{"Lunes","Martes","Miércoles","Jueves","Viernes","Sábado","Domingo"},0)-1)</f>
        <v/>
      </c>
    </row>
    <row r="309" customFormat="false" ht="15" hidden="false" customHeight="false" outlineLevel="0" collapsed="false">
      <c r="G309" s="23" t="str">
        <f aca="false">IF(OR(D309="",E309=""),"",E309*IFERROR(VLOOKUP(F309,Perfil!$B$19:$C$24,2,0),1))</f>
        <v/>
      </c>
      <c r="H309" s="23" t="str">
        <f aca="false">IF(G309="","",G309/100*INDEX(Alimentos!$E$5:$E$40,MATCH($D309,Alimentos!$B$5:$B$40,0)))</f>
        <v/>
      </c>
      <c r="I309" s="23" t="str">
        <f aca="false">IF(G309="","",G309/100*INDEX(Alimentos!$F$5:$F$40,MATCH($D309,Alimentos!$B$5:$B$40,0)))</f>
        <v/>
      </c>
      <c r="J309" s="23" t="str">
        <f aca="false">IF(G309="","",G309/100*INDEX(Alimentos!$G$5:$G$40,MATCH($D309,Alimentos!$B$5:$B$40,0)))</f>
        <v/>
      </c>
      <c r="K309" s="23" t="str">
        <f aca="false">IF(G309="","",G309/100*INDEX(Alimentos!$H$5:$H$40,MATCH($D309,Alimentos!$B$5:$B$40,0)))</f>
        <v/>
      </c>
      <c r="L309" s="24" t="str">
        <f aca="false">IF(OR(A309="",B309=""),"",Perfil!$C$13+(A309-1)*7+MATCH(B309,{"Lunes","Martes","Miércoles","Jueves","Viernes","Sábado","Domingo"},0)-1)</f>
        <v/>
      </c>
    </row>
    <row r="310" customFormat="false" ht="15" hidden="false" customHeight="false" outlineLevel="0" collapsed="false">
      <c r="G310" s="23" t="str">
        <f aca="false">IF(OR(D310="",E310=""),"",E310*IFERROR(VLOOKUP(F310,Perfil!$B$19:$C$24,2,0),1))</f>
        <v/>
      </c>
      <c r="H310" s="23" t="str">
        <f aca="false">IF(G310="","",G310/100*INDEX(Alimentos!$E$5:$E$40,MATCH($D310,Alimentos!$B$5:$B$40,0)))</f>
        <v/>
      </c>
      <c r="I310" s="23" t="str">
        <f aca="false">IF(G310="","",G310/100*INDEX(Alimentos!$F$5:$F$40,MATCH($D310,Alimentos!$B$5:$B$40,0)))</f>
        <v/>
      </c>
      <c r="J310" s="23" t="str">
        <f aca="false">IF(G310="","",G310/100*INDEX(Alimentos!$G$5:$G$40,MATCH($D310,Alimentos!$B$5:$B$40,0)))</f>
        <v/>
      </c>
      <c r="K310" s="23" t="str">
        <f aca="false">IF(G310="","",G310/100*INDEX(Alimentos!$H$5:$H$40,MATCH($D310,Alimentos!$B$5:$B$40,0)))</f>
        <v/>
      </c>
      <c r="L310" s="24" t="str">
        <f aca="false">IF(OR(A310="",B310=""),"",Perfil!$C$13+(A310-1)*7+MATCH(B310,{"Lunes","Martes","Miércoles","Jueves","Viernes","Sábado","Domingo"},0)-1)</f>
        <v/>
      </c>
    </row>
    <row r="311" customFormat="false" ht="15" hidden="false" customHeight="false" outlineLevel="0" collapsed="false">
      <c r="G311" s="23" t="str">
        <f aca="false">IF(OR(D311="",E311=""),"",E311*IFERROR(VLOOKUP(F311,Perfil!$B$19:$C$24,2,0),1))</f>
        <v/>
      </c>
      <c r="H311" s="23" t="str">
        <f aca="false">IF(G311="","",G311/100*INDEX(Alimentos!$E$5:$E$40,MATCH($D311,Alimentos!$B$5:$B$40,0)))</f>
        <v/>
      </c>
      <c r="I311" s="23" t="str">
        <f aca="false">IF(G311="","",G311/100*INDEX(Alimentos!$F$5:$F$40,MATCH($D311,Alimentos!$B$5:$B$40,0)))</f>
        <v/>
      </c>
      <c r="J311" s="23" t="str">
        <f aca="false">IF(G311="","",G311/100*INDEX(Alimentos!$G$5:$G$40,MATCH($D311,Alimentos!$B$5:$B$40,0)))</f>
        <v/>
      </c>
      <c r="K311" s="23" t="str">
        <f aca="false">IF(G311="","",G311/100*INDEX(Alimentos!$H$5:$H$40,MATCH($D311,Alimentos!$B$5:$B$40,0)))</f>
        <v/>
      </c>
      <c r="L311" s="24" t="str">
        <f aca="false">IF(OR(A311="",B311=""),"",Perfil!$C$13+(A311-1)*7+MATCH(B311,{"Lunes","Martes","Miércoles","Jueves","Viernes","Sábado","Domingo"},0)-1)</f>
        <v/>
      </c>
    </row>
    <row r="312" customFormat="false" ht="15" hidden="false" customHeight="false" outlineLevel="0" collapsed="false">
      <c r="G312" s="23" t="str">
        <f aca="false">IF(OR(D312="",E312=""),"",E312*IFERROR(VLOOKUP(F312,Perfil!$B$19:$C$24,2,0),1))</f>
        <v/>
      </c>
      <c r="H312" s="23" t="str">
        <f aca="false">IF(G312="","",G312/100*INDEX(Alimentos!$E$5:$E$40,MATCH($D312,Alimentos!$B$5:$B$40,0)))</f>
        <v/>
      </c>
      <c r="I312" s="23" t="str">
        <f aca="false">IF(G312="","",G312/100*INDEX(Alimentos!$F$5:$F$40,MATCH($D312,Alimentos!$B$5:$B$40,0)))</f>
        <v/>
      </c>
      <c r="J312" s="23" t="str">
        <f aca="false">IF(G312="","",G312/100*INDEX(Alimentos!$G$5:$G$40,MATCH($D312,Alimentos!$B$5:$B$40,0)))</f>
        <v/>
      </c>
      <c r="K312" s="23" t="str">
        <f aca="false">IF(G312="","",G312/100*INDEX(Alimentos!$H$5:$H$40,MATCH($D312,Alimentos!$B$5:$B$40,0)))</f>
        <v/>
      </c>
      <c r="L312" s="24" t="str">
        <f aca="false">IF(OR(A312="",B312=""),"",Perfil!$C$13+(A312-1)*7+MATCH(B312,{"Lunes","Martes","Miércoles","Jueves","Viernes","Sábado","Domingo"},0)-1)</f>
        <v/>
      </c>
    </row>
    <row r="313" customFormat="false" ht="15" hidden="false" customHeight="false" outlineLevel="0" collapsed="false">
      <c r="G313" s="23" t="str">
        <f aca="false">IF(OR(D313="",E313=""),"",E313*IFERROR(VLOOKUP(F313,Perfil!$B$19:$C$24,2,0),1))</f>
        <v/>
      </c>
      <c r="H313" s="23" t="str">
        <f aca="false">IF(G313="","",G313/100*INDEX(Alimentos!$E$5:$E$40,MATCH($D313,Alimentos!$B$5:$B$40,0)))</f>
        <v/>
      </c>
      <c r="I313" s="23" t="str">
        <f aca="false">IF(G313="","",G313/100*INDEX(Alimentos!$F$5:$F$40,MATCH($D313,Alimentos!$B$5:$B$40,0)))</f>
        <v/>
      </c>
      <c r="J313" s="23" t="str">
        <f aca="false">IF(G313="","",G313/100*INDEX(Alimentos!$G$5:$G$40,MATCH($D313,Alimentos!$B$5:$B$40,0)))</f>
        <v/>
      </c>
      <c r="K313" s="23" t="str">
        <f aca="false">IF(G313="","",G313/100*INDEX(Alimentos!$H$5:$H$40,MATCH($D313,Alimentos!$B$5:$B$40,0)))</f>
        <v/>
      </c>
      <c r="L313" s="24" t="str">
        <f aca="false">IF(OR(A313="",B313=""),"",Perfil!$C$13+(A313-1)*7+MATCH(B313,{"Lunes","Martes","Miércoles","Jueves","Viernes","Sábado","Domingo"},0)-1)</f>
        <v/>
      </c>
    </row>
    <row r="314" customFormat="false" ht="15" hidden="false" customHeight="false" outlineLevel="0" collapsed="false">
      <c r="G314" s="23" t="str">
        <f aca="false">IF(OR(D314="",E314=""),"",E314*IFERROR(VLOOKUP(F314,Perfil!$B$19:$C$24,2,0),1))</f>
        <v/>
      </c>
      <c r="H314" s="23" t="str">
        <f aca="false">IF(G314="","",G314/100*INDEX(Alimentos!$E$5:$E$40,MATCH($D314,Alimentos!$B$5:$B$40,0)))</f>
        <v/>
      </c>
      <c r="I314" s="23" t="str">
        <f aca="false">IF(G314="","",G314/100*INDEX(Alimentos!$F$5:$F$40,MATCH($D314,Alimentos!$B$5:$B$40,0)))</f>
        <v/>
      </c>
      <c r="J314" s="23" t="str">
        <f aca="false">IF(G314="","",G314/100*INDEX(Alimentos!$G$5:$G$40,MATCH($D314,Alimentos!$B$5:$B$40,0)))</f>
        <v/>
      </c>
      <c r="K314" s="23" t="str">
        <f aca="false">IF(G314="","",G314/100*INDEX(Alimentos!$H$5:$H$40,MATCH($D314,Alimentos!$B$5:$B$40,0)))</f>
        <v/>
      </c>
      <c r="L314" s="24" t="str">
        <f aca="false">IF(OR(A314="",B314=""),"",Perfil!$C$13+(A314-1)*7+MATCH(B314,{"Lunes","Martes","Miércoles","Jueves","Viernes","Sábado","Domingo"},0)-1)</f>
        <v/>
      </c>
    </row>
    <row r="315" customFormat="false" ht="15" hidden="false" customHeight="false" outlineLevel="0" collapsed="false">
      <c r="G315" s="23" t="str">
        <f aca="false">IF(OR(D315="",E315=""),"",E315*IFERROR(VLOOKUP(F315,Perfil!$B$19:$C$24,2,0),1))</f>
        <v/>
      </c>
      <c r="H315" s="23" t="str">
        <f aca="false">IF(G315="","",G315/100*INDEX(Alimentos!$E$5:$E$40,MATCH($D315,Alimentos!$B$5:$B$40,0)))</f>
        <v/>
      </c>
      <c r="I315" s="23" t="str">
        <f aca="false">IF(G315="","",G315/100*INDEX(Alimentos!$F$5:$F$40,MATCH($D315,Alimentos!$B$5:$B$40,0)))</f>
        <v/>
      </c>
      <c r="J315" s="23" t="str">
        <f aca="false">IF(G315="","",G315/100*INDEX(Alimentos!$G$5:$G$40,MATCH($D315,Alimentos!$B$5:$B$40,0)))</f>
        <v/>
      </c>
      <c r="K315" s="23" t="str">
        <f aca="false">IF(G315="","",G315/100*INDEX(Alimentos!$H$5:$H$40,MATCH($D315,Alimentos!$B$5:$B$40,0)))</f>
        <v/>
      </c>
      <c r="L315" s="24" t="str">
        <f aca="false">IF(OR(A315="",B315=""),"",Perfil!$C$13+(A315-1)*7+MATCH(B315,{"Lunes","Martes","Miércoles","Jueves","Viernes","Sábado","Domingo"},0)-1)</f>
        <v/>
      </c>
    </row>
    <row r="316" customFormat="false" ht="15" hidden="false" customHeight="false" outlineLevel="0" collapsed="false">
      <c r="G316" s="23" t="str">
        <f aca="false">IF(OR(D316="",E316=""),"",E316*IFERROR(VLOOKUP(F316,Perfil!$B$19:$C$24,2,0),1))</f>
        <v/>
      </c>
      <c r="H316" s="23" t="str">
        <f aca="false">IF(G316="","",G316/100*INDEX(Alimentos!$E$5:$E$40,MATCH($D316,Alimentos!$B$5:$B$40,0)))</f>
        <v/>
      </c>
      <c r="I316" s="23" t="str">
        <f aca="false">IF(G316="","",G316/100*INDEX(Alimentos!$F$5:$F$40,MATCH($D316,Alimentos!$B$5:$B$40,0)))</f>
        <v/>
      </c>
      <c r="J316" s="23" t="str">
        <f aca="false">IF(G316="","",G316/100*INDEX(Alimentos!$G$5:$G$40,MATCH($D316,Alimentos!$B$5:$B$40,0)))</f>
        <v/>
      </c>
      <c r="K316" s="23" t="str">
        <f aca="false">IF(G316="","",G316/100*INDEX(Alimentos!$H$5:$H$40,MATCH($D316,Alimentos!$B$5:$B$40,0)))</f>
        <v/>
      </c>
      <c r="L316" s="24" t="str">
        <f aca="false">IF(OR(A316="",B316=""),"",Perfil!$C$13+(A316-1)*7+MATCH(B316,{"Lunes","Martes","Miércoles","Jueves","Viernes","Sábado","Domingo"},0)-1)</f>
        <v/>
      </c>
    </row>
    <row r="317" customFormat="false" ht="15" hidden="false" customHeight="false" outlineLevel="0" collapsed="false">
      <c r="G317" s="23" t="str">
        <f aca="false">IF(OR(D317="",E317=""),"",E317*IFERROR(VLOOKUP(F317,Perfil!$B$19:$C$24,2,0),1))</f>
        <v/>
      </c>
      <c r="H317" s="23" t="str">
        <f aca="false">IF(G317="","",G317/100*INDEX(Alimentos!$E$5:$E$40,MATCH($D317,Alimentos!$B$5:$B$40,0)))</f>
        <v/>
      </c>
      <c r="I317" s="23" t="str">
        <f aca="false">IF(G317="","",G317/100*INDEX(Alimentos!$F$5:$F$40,MATCH($D317,Alimentos!$B$5:$B$40,0)))</f>
        <v/>
      </c>
      <c r="J317" s="23" t="str">
        <f aca="false">IF(G317="","",G317/100*INDEX(Alimentos!$G$5:$G$40,MATCH($D317,Alimentos!$B$5:$B$40,0)))</f>
        <v/>
      </c>
      <c r="K317" s="23" t="str">
        <f aca="false">IF(G317="","",G317/100*INDEX(Alimentos!$H$5:$H$40,MATCH($D317,Alimentos!$B$5:$B$40,0)))</f>
        <v/>
      </c>
      <c r="L317" s="24" t="str">
        <f aca="false">IF(OR(A317="",B317=""),"",Perfil!$C$13+(A317-1)*7+MATCH(B317,{"Lunes","Martes","Miércoles","Jueves","Viernes","Sábado","Domingo"},0)-1)</f>
        <v/>
      </c>
    </row>
    <row r="318" customFormat="false" ht="15" hidden="false" customHeight="false" outlineLevel="0" collapsed="false">
      <c r="G318" s="23" t="str">
        <f aca="false">IF(OR(D318="",E318=""),"",E318*IFERROR(VLOOKUP(F318,Perfil!$B$19:$C$24,2,0),1))</f>
        <v/>
      </c>
      <c r="H318" s="23" t="str">
        <f aca="false">IF(G318="","",G318/100*INDEX(Alimentos!$E$5:$E$40,MATCH($D318,Alimentos!$B$5:$B$40,0)))</f>
        <v/>
      </c>
      <c r="I318" s="23" t="str">
        <f aca="false">IF(G318="","",G318/100*INDEX(Alimentos!$F$5:$F$40,MATCH($D318,Alimentos!$B$5:$B$40,0)))</f>
        <v/>
      </c>
      <c r="J318" s="23" t="str">
        <f aca="false">IF(G318="","",G318/100*INDEX(Alimentos!$G$5:$G$40,MATCH($D318,Alimentos!$B$5:$B$40,0)))</f>
        <v/>
      </c>
      <c r="K318" s="23" t="str">
        <f aca="false">IF(G318="","",G318/100*INDEX(Alimentos!$H$5:$H$40,MATCH($D318,Alimentos!$B$5:$B$40,0)))</f>
        <v/>
      </c>
      <c r="L318" s="24" t="str">
        <f aca="false">IF(OR(A318="",B318=""),"",Perfil!$C$13+(A318-1)*7+MATCH(B318,{"Lunes","Martes","Miércoles","Jueves","Viernes","Sábado","Domingo"},0)-1)</f>
        <v/>
      </c>
    </row>
    <row r="319" customFormat="false" ht="15" hidden="false" customHeight="false" outlineLevel="0" collapsed="false">
      <c r="G319" s="23" t="str">
        <f aca="false">IF(OR(D319="",E319=""),"",E319*IFERROR(VLOOKUP(F319,Perfil!$B$19:$C$24,2,0),1))</f>
        <v/>
      </c>
      <c r="H319" s="23" t="str">
        <f aca="false">IF(G319="","",G319/100*INDEX(Alimentos!$E$5:$E$40,MATCH($D319,Alimentos!$B$5:$B$40,0)))</f>
        <v/>
      </c>
      <c r="I319" s="23" t="str">
        <f aca="false">IF(G319="","",G319/100*INDEX(Alimentos!$F$5:$F$40,MATCH($D319,Alimentos!$B$5:$B$40,0)))</f>
        <v/>
      </c>
      <c r="J319" s="23" t="str">
        <f aca="false">IF(G319="","",G319/100*INDEX(Alimentos!$G$5:$G$40,MATCH($D319,Alimentos!$B$5:$B$40,0)))</f>
        <v/>
      </c>
      <c r="K319" s="23" t="str">
        <f aca="false">IF(G319="","",G319/100*INDEX(Alimentos!$H$5:$H$40,MATCH($D319,Alimentos!$B$5:$B$40,0)))</f>
        <v/>
      </c>
      <c r="L319" s="24" t="str">
        <f aca="false">IF(OR(A319="",B319=""),"",Perfil!$C$13+(A319-1)*7+MATCH(B319,{"Lunes","Martes","Miércoles","Jueves","Viernes","Sábado","Domingo"},0)-1)</f>
        <v/>
      </c>
    </row>
    <row r="320" customFormat="false" ht="15" hidden="false" customHeight="false" outlineLevel="0" collapsed="false">
      <c r="G320" s="23" t="str">
        <f aca="false">IF(OR(D320="",E320=""),"",E320*IFERROR(VLOOKUP(F320,Perfil!$B$19:$C$24,2,0),1))</f>
        <v/>
      </c>
      <c r="H320" s="23" t="str">
        <f aca="false">IF(G320="","",G320/100*INDEX(Alimentos!$E$5:$E$40,MATCH($D320,Alimentos!$B$5:$B$40,0)))</f>
        <v/>
      </c>
      <c r="I320" s="23" t="str">
        <f aca="false">IF(G320="","",G320/100*INDEX(Alimentos!$F$5:$F$40,MATCH($D320,Alimentos!$B$5:$B$40,0)))</f>
        <v/>
      </c>
      <c r="J320" s="23" t="str">
        <f aca="false">IF(G320="","",G320/100*INDEX(Alimentos!$G$5:$G$40,MATCH($D320,Alimentos!$B$5:$B$40,0)))</f>
        <v/>
      </c>
      <c r="K320" s="23" t="str">
        <f aca="false">IF(G320="","",G320/100*INDEX(Alimentos!$H$5:$H$40,MATCH($D320,Alimentos!$B$5:$B$40,0)))</f>
        <v/>
      </c>
      <c r="L320" s="24" t="str">
        <f aca="false">IF(OR(A320="",B320=""),"",Perfil!$C$13+(A320-1)*7+MATCH(B320,{"Lunes","Martes","Miércoles","Jueves","Viernes","Sábado","Domingo"},0)-1)</f>
        <v/>
      </c>
    </row>
    <row r="321" customFormat="false" ht="15" hidden="false" customHeight="false" outlineLevel="0" collapsed="false">
      <c r="G321" s="23" t="str">
        <f aca="false">IF(OR(D321="",E321=""),"",E321*IFERROR(VLOOKUP(F321,Perfil!$B$19:$C$24,2,0),1))</f>
        <v/>
      </c>
      <c r="H321" s="23" t="str">
        <f aca="false">IF(G321="","",G321/100*INDEX(Alimentos!$E$5:$E$40,MATCH($D321,Alimentos!$B$5:$B$40,0)))</f>
        <v/>
      </c>
      <c r="I321" s="23" t="str">
        <f aca="false">IF(G321="","",G321/100*INDEX(Alimentos!$F$5:$F$40,MATCH($D321,Alimentos!$B$5:$B$40,0)))</f>
        <v/>
      </c>
      <c r="J321" s="23" t="str">
        <f aca="false">IF(G321="","",G321/100*INDEX(Alimentos!$G$5:$G$40,MATCH($D321,Alimentos!$B$5:$B$40,0)))</f>
        <v/>
      </c>
      <c r="K321" s="23" t="str">
        <f aca="false">IF(G321="","",G321/100*INDEX(Alimentos!$H$5:$H$40,MATCH($D321,Alimentos!$B$5:$B$40,0)))</f>
        <v/>
      </c>
      <c r="L321" s="24" t="str">
        <f aca="false">IF(OR(A321="",B321=""),"",Perfil!$C$13+(A321-1)*7+MATCH(B321,{"Lunes","Martes","Miércoles","Jueves","Viernes","Sábado","Domingo"},0)-1)</f>
        <v/>
      </c>
    </row>
    <row r="322" customFormat="false" ht="15" hidden="false" customHeight="false" outlineLevel="0" collapsed="false">
      <c r="G322" s="23" t="str">
        <f aca="false">IF(OR(D322="",E322=""),"",E322*IFERROR(VLOOKUP(F322,Perfil!$B$19:$C$24,2,0),1))</f>
        <v/>
      </c>
      <c r="H322" s="23" t="str">
        <f aca="false">IF(G322="","",G322/100*INDEX(Alimentos!$E$5:$E$40,MATCH($D322,Alimentos!$B$5:$B$40,0)))</f>
        <v/>
      </c>
      <c r="I322" s="23" t="str">
        <f aca="false">IF(G322="","",G322/100*INDEX(Alimentos!$F$5:$F$40,MATCH($D322,Alimentos!$B$5:$B$40,0)))</f>
        <v/>
      </c>
      <c r="J322" s="23" t="str">
        <f aca="false">IF(G322="","",G322/100*INDEX(Alimentos!$G$5:$G$40,MATCH($D322,Alimentos!$B$5:$B$40,0)))</f>
        <v/>
      </c>
      <c r="K322" s="23" t="str">
        <f aca="false">IF(G322="","",G322/100*INDEX(Alimentos!$H$5:$H$40,MATCH($D322,Alimentos!$B$5:$B$40,0)))</f>
        <v/>
      </c>
      <c r="L322" s="24" t="str">
        <f aca="false">IF(OR(A322="",B322=""),"",Perfil!$C$13+(A322-1)*7+MATCH(B322,{"Lunes","Martes","Miércoles","Jueves","Viernes","Sábado","Domingo"},0)-1)</f>
        <v/>
      </c>
    </row>
    <row r="323" customFormat="false" ht="15" hidden="false" customHeight="false" outlineLevel="0" collapsed="false">
      <c r="G323" s="23" t="str">
        <f aca="false">IF(OR(D323="",E323=""),"",E323*IFERROR(VLOOKUP(F323,Perfil!$B$19:$C$24,2,0),1))</f>
        <v/>
      </c>
      <c r="H323" s="23" t="str">
        <f aca="false">IF(G323="","",G323/100*INDEX(Alimentos!$E$5:$E$40,MATCH($D323,Alimentos!$B$5:$B$40,0)))</f>
        <v/>
      </c>
      <c r="I323" s="23" t="str">
        <f aca="false">IF(G323="","",G323/100*INDEX(Alimentos!$F$5:$F$40,MATCH($D323,Alimentos!$B$5:$B$40,0)))</f>
        <v/>
      </c>
      <c r="J323" s="23" t="str">
        <f aca="false">IF(G323="","",G323/100*INDEX(Alimentos!$G$5:$G$40,MATCH($D323,Alimentos!$B$5:$B$40,0)))</f>
        <v/>
      </c>
      <c r="K323" s="23" t="str">
        <f aca="false">IF(G323="","",G323/100*INDEX(Alimentos!$H$5:$H$40,MATCH($D323,Alimentos!$B$5:$B$40,0)))</f>
        <v/>
      </c>
      <c r="L323" s="24" t="str">
        <f aca="false">IF(OR(A323="",B323=""),"",Perfil!$C$13+(A323-1)*7+MATCH(B323,{"Lunes","Martes","Miércoles","Jueves","Viernes","Sábado","Domingo"},0)-1)</f>
        <v/>
      </c>
    </row>
    <row r="324" customFormat="false" ht="15" hidden="false" customHeight="false" outlineLevel="0" collapsed="false">
      <c r="G324" s="23" t="str">
        <f aca="false">IF(OR(D324="",E324=""),"",E324*IFERROR(VLOOKUP(F324,Perfil!$B$19:$C$24,2,0),1))</f>
        <v/>
      </c>
      <c r="H324" s="23" t="str">
        <f aca="false">IF(G324="","",G324/100*INDEX(Alimentos!$E$5:$E$40,MATCH($D324,Alimentos!$B$5:$B$40,0)))</f>
        <v/>
      </c>
      <c r="I324" s="23" t="str">
        <f aca="false">IF(G324="","",G324/100*INDEX(Alimentos!$F$5:$F$40,MATCH($D324,Alimentos!$B$5:$B$40,0)))</f>
        <v/>
      </c>
      <c r="J324" s="23" t="str">
        <f aca="false">IF(G324="","",G324/100*INDEX(Alimentos!$G$5:$G$40,MATCH($D324,Alimentos!$B$5:$B$40,0)))</f>
        <v/>
      </c>
      <c r="K324" s="23" t="str">
        <f aca="false">IF(G324="","",G324/100*INDEX(Alimentos!$H$5:$H$40,MATCH($D324,Alimentos!$B$5:$B$40,0)))</f>
        <v/>
      </c>
      <c r="L324" s="24" t="str">
        <f aca="false">IF(OR(A324="",B324=""),"",Perfil!$C$13+(A324-1)*7+MATCH(B324,{"Lunes","Martes","Miércoles","Jueves","Viernes","Sábado","Domingo"},0)-1)</f>
        <v/>
      </c>
    </row>
    <row r="325" customFormat="false" ht="15" hidden="false" customHeight="false" outlineLevel="0" collapsed="false">
      <c r="G325" s="23" t="str">
        <f aca="false">IF(OR(D325="",E325=""),"",E325*IFERROR(VLOOKUP(F325,Perfil!$B$19:$C$24,2,0),1))</f>
        <v/>
      </c>
      <c r="H325" s="23" t="str">
        <f aca="false">IF(G325="","",G325/100*INDEX(Alimentos!$E$5:$E$40,MATCH($D325,Alimentos!$B$5:$B$40,0)))</f>
        <v/>
      </c>
      <c r="I325" s="23" t="str">
        <f aca="false">IF(G325="","",G325/100*INDEX(Alimentos!$F$5:$F$40,MATCH($D325,Alimentos!$B$5:$B$40,0)))</f>
        <v/>
      </c>
      <c r="J325" s="23" t="str">
        <f aca="false">IF(G325="","",G325/100*INDEX(Alimentos!$G$5:$G$40,MATCH($D325,Alimentos!$B$5:$B$40,0)))</f>
        <v/>
      </c>
      <c r="K325" s="23" t="str">
        <f aca="false">IF(G325="","",G325/100*INDEX(Alimentos!$H$5:$H$40,MATCH($D325,Alimentos!$B$5:$B$40,0)))</f>
        <v/>
      </c>
      <c r="L325" s="24" t="str">
        <f aca="false">IF(OR(A325="",B325=""),"",Perfil!$C$13+(A325-1)*7+MATCH(B325,{"Lunes","Martes","Miércoles","Jueves","Viernes","Sábado","Domingo"},0)-1)</f>
        <v/>
      </c>
    </row>
    <row r="326" customFormat="false" ht="15" hidden="false" customHeight="false" outlineLevel="0" collapsed="false">
      <c r="G326" s="23" t="str">
        <f aca="false">IF(OR(D326="",E326=""),"",E326*IFERROR(VLOOKUP(F326,Perfil!$B$19:$C$24,2,0),1))</f>
        <v/>
      </c>
      <c r="H326" s="23" t="str">
        <f aca="false">IF(G326="","",G326/100*INDEX(Alimentos!$E$5:$E$40,MATCH($D326,Alimentos!$B$5:$B$40,0)))</f>
        <v/>
      </c>
      <c r="I326" s="23" t="str">
        <f aca="false">IF(G326="","",G326/100*INDEX(Alimentos!$F$5:$F$40,MATCH($D326,Alimentos!$B$5:$B$40,0)))</f>
        <v/>
      </c>
      <c r="J326" s="23" t="str">
        <f aca="false">IF(G326="","",G326/100*INDEX(Alimentos!$G$5:$G$40,MATCH($D326,Alimentos!$B$5:$B$40,0)))</f>
        <v/>
      </c>
      <c r="K326" s="23" t="str">
        <f aca="false">IF(G326="","",G326/100*INDEX(Alimentos!$H$5:$H$40,MATCH($D326,Alimentos!$B$5:$B$40,0)))</f>
        <v/>
      </c>
      <c r="L326" s="24" t="str">
        <f aca="false">IF(OR(A326="",B326=""),"",Perfil!$C$13+(A326-1)*7+MATCH(B326,{"Lunes","Martes","Miércoles","Jueves","Viernes","Sábado","Domingo"},0)-1)</f>
        <v/>
      </c>
    </row>
    <row r="327" customFormat="false" ht="15" hidden="false" customHeight="false" outlineLevel="0" collapsed="false">
      <c r="G327" s="23" t="str">
        <f aca="false">IF(OR(D327="",E327=""),"",E327*IFERROR(VLOOKUP(F327,Perfil!$B$19:$C$24,2,0),1))</f>
        <v/>
      </c>
      <c r="H327" s="23" t="str">
        <f aca="false">IF(G327="","",G327/100*INDEX(Alimentos!$E$5:$E$40,MATCH($D327,Alimentos!$B$5:$B$40,0)))</f>
        <v/>
      </c>
      <c r="I327" s="23" t="str">
        <f aca="false">IF(G327="","",G327/100*INDEX(Alimentos!$F$5:$F$40,MATCH($D327,Alimentos!$B$5:$B$40,0)))</f>
        <v/>
      </c>
      <c r="J327" s="23" t="str">
        <f aca="false">IF(G327="","",G327/100*INDEX(Alimentos!$G$5:$G$40,MATCH($D327,Alimentos!$B$5:$B$40,0)))</f>
        <v/>
      </c>
      <c r="K327" s="23" t="str">
        <f aca="false">IF(G327="","",G327/100*INDEX(Alimentos!$H$5:$H$40,MATCH($D327,Alimentos!$B$5:$B$40,0)))</f>
        <v/>
      </c>
      <c r="L327" s="24" t="str">
        <f aca="false">IF(OR(A327="",B327=""),"",Perfil!$C$13+(A327-1)*7+MATCH(B327,{"Lunes","Martes","Miércoles","Jueves","Viernes","Sábado","Domingo"},0)-1)</f>
        <v/>
      </c>
    </row>
    <row r="328" customFormat="false" ht="15" hidden="false" customHeight="false" outlineLevel="0" collapsed="false">
      <c r="G328" s="23" t="str">
        <f aca="false">IF(OR(D328="",E328=""),"",E328*IFERROR(VLOOKUP(F328,Perfil!$B$19:$C$24,2,0),1))</f>
        <v/>
      </c>
      <c r="H328" s="23" t="str">
        <f aca="false">IF(G328="","",G328/100*INDEX(Alimentos!$E$5:$E$40,MATCH($D328,Alimentos!$B$5:$B$40,0)))</f>
        <v/>
      </c>
      <c r="I328" s="23" t="str">
        <f aca="false">IF(G328="","",G328/100*INDEX(Alimentos!$F$5:$F$40,MATCH($D328,Alimentos!$B$5:$B$40,0)))</f>
        <v/>
      </c>
      <c r="J328" s="23" t="str">
        <f aca="false">IF(G328="","",G328/100*INDEX(Alimentos!$G$5:$G$40,MATCH($D328,Alimentos!$B$5:$B$40,0)))</f>
        <v/>
      </c>
      <c r="K328" s="23" t="str">
        <f aca="false">IF(G328="","",G328/100*INDEX(Alimentos!$H$5:$H$40,MATCH($D328,Alimentos!$B$5:$B$40,0)))</f>
        <v/>
      </c>
      <c r="L328" s="24" t="str">
        <f aca="false">IF(OR(A328="",B328=""),"",Perfil!$C$13+(A328-1)*7+MATCH(B328,{"Lunes","Martes","Miércoles","Jueves","Viernes","Sábado","Domingo"},0)-1)</f>
        <v/>
      </c>
    </row>
    <row r="329" customFormat="false" ht="15" hidden="false" customHeight="false" outlineLevel="0" collapsed="false">
      <c r="G329" s="23" t="str">
        <f aca="false">IF(OR(D329="",E329=""),"",E329*IFERROR(VLOOKUP(F329,Perfil!$B$19:$C$24,2,0),1))</f>
        <v/>
      </c>
      <c r="H329" s="23" t="str">
        <f aca="false">IF(G329="","",G329/100*INDEX(Alimentos!$E$5:$E$40,MATCH($D329,Alimentos!$B$5:$B$40,0)))</f>
        <v/>
      </c>
      <c r="I329" s="23" t="str">
        <f aca="false">IF(G329="","",G329/100*INDEX(Alimentos!$F$5:$F$40,MATCH($D329,Alimentos!$B$5:$B$40,0)))</f>
        <v/>
      </c>
      <c r="J329" s="23" t="str">
        <f aca="false">IF(G329="","",G329/100*INDEX(Alimentos!$G$5:$G$40,MATCH($D329,Alimentos!$B$5:$B$40,0)))</f>
        <v/>
      </c>
      <c r="K329" s="23" t="str">
        <f aca="false">IF(G329="","",G329/100*INDEX(Alimentos!$H$5:$H$40,MATCH($D329,Alimentos!$B$5:$B$40,0)))</f>
        <v/>
      </c>
      <c r="L329" s="24" t="str">
        <f aca="false">IF(OR(A329="",B329=""),"",Perfil!$C$13+(A329-1)*7+MATCH(B329,{"Lunes","Martes","Miércoles","Jueves","Viernes","Sábado","Domingo"},0)-1)</f>
        <v/>
      </c>
    </row>
    <row r="330" customFormat="false" ht="15" hidden="false" customHeight="false" outlineLevel="0" collapsed="false">
      <c r="G330" s="23" t="str">
        <f aca="false">IF(OR(D330="",E330=""),"",E330*IFERROR(VLOOKUP(F330,Perfil!$B$19:$C$24,2,0),1))</f>
        <v/>
      </c>
      <c r="H330" s="23" t="str">
        <f aca="false">IF(G330="","",G330/100*INDEX(Alimentos!$E$5:$E$40,MATCH($D330,Alimentos!$B$5:$B$40,0)))</f>
        <v/>
      </c>
      <c r="I330" s="23" t="str">
        <f aca="false">IF(G330="","",G330/100*INDEX(Alimentos!$F$5:$F$40,MATCH($D330,Alimentos!$B$5:$B$40,0)))</f>
        <v/>
      </c>
      <c r="J330" s="23" t="str">
        <f aca="false">IF(G330="","",G330/100*INDEX(Alimentos!$G$5:$G$40,MATCH($D330,Alimentos!$B$5:$B$40,0)))</f>
        <v/>
      </c>
      <c r="K330" s="23" t="str">
        <f aca="false">IF(G330="","",G330/100*INDEX(Alimentos!$H$5:$H$40,MATCH($D330,Alimentos!$B$5:$B$40,0)))</f>
        <v/>
      </c>
      <c r="L330" s="24" t="str">
        <f aca="false">IF(OR(A330="",B330=""),"",Perfil!$C$13+(A330-1)*7+MATCH(B330,{"Lunes","Martes","Miércoles","Jueves","Viernes","Sábado","Domingo"},0)-1)</f>
        <v/>
      </c>
    </row>
    <row r="331" customFormat="false" ht="15" hidden="false" customHeight="false" outlineLevel="0" collapsed="false">
      <c r="G331" s="23" t="str">
        <f aca="false">IF(OR(D331="",E331=""),"",E331*IFERROR(VLOOKUP(F331,Perfil!$B$19:$C$24,2,0),1))</f>
        <v/>
      </c>
      <c r="H331" s="23" t="str">
        <f aca="false">IF(G331="","",G331/100*INDEX(Alimentos!$E$5:$E$40,MATCH($D331,Alimentos!$B$5:$B$40,0)))</f>
        <v/>
      </c>
      <c r="I331" s="23" t="str">
        <f aca="false">IF(G331="","",G331/100*INDEX(Alimentos!$F$5:$F$40,MATCH($D331,Alimentos!$B$5:$B$40,0)))</f>
        <v/>
      </c>
      <c r="J331" s="23" t="str">
        <f aca="false">IF(G331="","",G331/100*INDEX(Alimentos!$G$5:$G$40,MATCH($D331,Alimentos!$B$5:$B$40,0)))</f>
        <v/>
      </c>
      <c r="K331" s="23" t="str">
        <f aca="false">IF(G331="","",G331/100*INDEX(Alimentos!$H$5:$H$40,MATCH($D331,Alimentos!$B$5:$B$40,0)))</f>
        <v/>
      </c>
      <c r="L331" s="24" t="str">
        <f aca="false">IF(OR(A331="",B331=""),"",Perfil!$C$13+(A331-1)*7+MATCH(B331,{"Lunes","Martes","Miércoles","Jueves","Viernes","Sábado","Domingo"},0)-1)</f>
        <v/>
      </c>
    </row>
    <row r="332" customFormat="false" ht="15" hidden="false" customHeight="false" outlineLevel="0" collapsed="false">
      <c r="G332" s="23" t="str">
        <f aca="false">IF(OR(D332="",E332=""),"",E332*IFERROR(VLOOKUP(F332,Perfil!$B$19:$C$24,2,0),1))</f>
        <v/>
      </c>
      <c r="H332" s="23" t="str">
        <f aca="false">IF(G332="","",G332/100*INDEX(Alimentos!$E$5:$E$40,MATCH($D332,Alimentos!$B$5:$B$40,0)))</f>
        <v/>
      </c>
      <c r="I332" s="23" t="str">
        <f aca="false">IF(G332="","",G332/100*INDEX(Alimentos!$F$5:$F$40,MATCH($D332,Alimentos!$B$5:$B$40,0)))</f>
        <v/>
      </c>
      <c r="J332" s="23" t="str">
        <f aca="false">IF(G332="","",G332/100*INDEX(Alimentos!$G$5:$G$40,MATCH($D332,Alimentos!$B$5:$B$40,0)))</f>
        <v/>
      </c>
      <c r="K332" s="23" t="str">
        <f aca="false">IF(G332="","",G332/100*INDEX(Alimentos!$H$5:$H$40,MATCH($D332,Alimentos!$B$5:$B$40,0)))</f>
        <v/>
      </c>
      <c r="L332" s="24" t="str">
        <f aca="false">IF(OR(A332="",B332=""),"",Perfil!$C$13+(A332-1)*7+MATCH(B332,{"Lunes","Martes","Miércoles","Jueves","Viernes","Sábado","Domingo"},0)-1)</f>
        <v/>
      </c>
    </row>
    <row r="333" customFormat="false" ht="15" hidden="false" customHeight="false" outlineLevel="0" collapsed="false">
      <c r="G333" s="23" t="str">
        <f aca="false">IF(OR(D333="",E333=""),"",E333*IFERROR(VLOOKUP(F333,Perfil!$B$19:$C$24,2,0),1))</f>
        <v/>
      </c>
      <c r="H333" s="23" t="str">
        <f aca="false">IF(G333="","",G333/100*INDEX(Alimentos!$E$5:$E$40,MATCH($D333,Alimentos!$B$5:$B$40,0)))</f>
        <v/>
      </c>
      <c r="I333" s="23" t="str">
        <f aca="false">IF(G333="","",G333/100*INDEX(Alimentos!$F$5:$F$40,MATCH($D333,Alimentos!$B$5:$B$40,0)))</f>
        <v/>
      </c>
      <c r="J333" s="23" t="str">
        <f aca="false">IF(G333="","",G333/100*INDEX(Alimentos!$G$5:$G$40,MATCH($D333,Alimentos!$B$5:$B$40,0)))</f>
        <v/>
      </c>
      <c r="K333" s="23" t="str">
        <f aca="false">IF(G333="","",G333/100*INDEX(Alimentos!$H$5:$H$40,MATCH($D333,Alimentos!$B$5:$B$40,0)))</f>
        <v/>
      </c>
      <c r="L333" s="24" t="str">
        <f aca="false">IF(OR(A333="",B333=""),"",Perfil!$C$13+(A333-1)*7+MATCH(B333,{"Lunes","Martes","Miércoles","Jueves","Viernes","Sábado","Domingo"},0)-1)</f>
        <v/>
      </c>
    </row>
    <row r="334" customFormat="false" ht="15" hidden="false" customHeight="false" outlineLevel="0" collapsed="false">
      <c r="G334" s="23" t="str">
        <f aca="false">IF(OR(D334="",E334=""),"",E334*IFERROR(VLOOKUP(F334,Perfil!$B$19:$C$24,2,0),1))</f>
        <v/>
      </c>
      <c r="H334" s="23" t="str">
        <f aca="false">IF(G334="","",G334/100*INDEX(Alimentos!$E$5:$E$40,MATCH($D334,Alimentos!$B$5:$B$40,0)))</f>
        <v/>
      </c>
      <c r="I334" s="23" t="str">
        <f aca="false">IF(G334="","",G334/100*INDEX(Alimentos!$F$5:$F$40,MATCH($D334,Alimentos!$B$5:$B$40,0)))</f>
        <v/>
      </c>
      <c r="J334" s="23" t="str">
        <f aca="false">IF(G334="","",G334/100*INDEX(Alimentos!$G$5:$G$40,MATCH($D334,Alimentos!$B$5:$B$40,0)))</f>
        <v/>
      </c>
      <c r="K334" s="23" t="str">
        <f aca="false">IF(G334="","",G334/100*INDEX(Alimentos!$H$5:$H$40,MATCH($D334,Alimentos!$B$5:$B$40,0)))</f>
        <v/>
      </c>
      <c r="L334" s="24" t="str">
        <f aca="false">IF(OR(A334="",B334=""),"",Perfil!$C$13+(A334-1)*7+MATCH(B334,{"Lunes","Martes","Miércoles","Jueves","Viernes","Sábado","Domingo"},0)-1)</f>
        <v/>
      </c>
    </row>
    <row r="335" customFormat="false" ht="15" hidden="false" customHeight="false" outlineLevel="0" collapsed="false">
      <c r="G335" s="23" t="str">
        <f aca="false">IF(OR(D335="",E335=""),"",E335*IFERROR(VLOOKUP(F335,Perfil!$B$19:$C$24,2,0),1))</f>
        <v/>
      </c>
      <c r="H335" s="23" t="str">
        <f aca="false">IF(G335="","",G335/100*INDEX(Alimentos!$E$5:$E$40,MATCH($D335,Alimentos!$B$5:$B$40,0)))</f>
        <v/>
      </c>
      <c r="I335" s="23" t="str">
        <f aca="false">IF(G335="","",G335/100*INDEX(Alimentos!$F$5:$F$40,MATCH($D335,Alimentos!$B$5:$B$40,0)))</f>
        <v/>
      </c>
      <c r="J335" s="23" t="str">
        <f aca="false">IF(G335="","",G335/100*INDEX(Alimentos!$G$5:$G$40,MATCH($D335,Alimentos!$B$5:$B$40,0)))</f>
        <v/>
      </c>
      <c r="K335" s="23" t="str">
        <f aca="false">IF(G335="","",G335/100*INDEX(Alimentos!$H$5:$H$40,MATCH($D335,Alimentos!$B$5:$B$40,0)))</f>
        <v/>
      </c>
      <c r="L335" s="24" t="str">
        <f aca="false">IF(OR(A335="",B335=""),"",Perfil!$C$13+(A335-1)*7+MATCH(B335,{"Lunes","Martes","Miércoles","Jueves","Viernes","Sábado","Domingo"},0)-1)</f>
        <v/>
      </c>
    </row>
    <row r="336" customFormat="false" ht="15" hidden="false" customHeight="false" outlineLevel="0" collapsed="false">
      <c r="G336" s="23" t="str">
        <f aca="false">IF(OR(D336="",E336=""),"",E336*IFERROR(VLOOKUP(F336,Perfil!$B$19:$C$24,2,0),1))</f>
        <v/>
      </c>
      <c r="H336" s="23" t="str">
        <f aca="false">IF(G336="","",G336/100*INDEX(Alimentos!$E$5:$E$40,MATCH($D336,Alimentos!$B$5:$B$40,0)))</f>
        <v/>
      </c>
      <c r="I336" s="23" t="str">
        <f aca="false">IF(G336="","",G336/100*INDEX(Alimentos!$F$5:$F$40,MATCH($D336,Alimentos!$B$5:$B$40,0)))</f>
        <v/>
      </c>
      <c r="J336" s="23" t="str">
        <f aca="false">IF(G336="","",G336/100*INDEX(Alimentos!$G$5:$G$40,MATCH($D336,Alimentos!$B$5:$B$40,0)))</f>
        <v/>
      </c>
      <c r="K336" s="23" t="str">
        <f aca="false">IF(G336="","",G336/100*INDEX(Alimentos!$H$5:$H$40,MATCH($D336,Alimentos!$B$5:$B$40,0)))</f>
        <v/>
      </c>
      <c r="L336" s="24" t="str">
        <f aca="false">IF(OR(A336="",B336=""),"",Perfil!$C$13+(A336-1)*7+MATCH(B336,{"Lunes","Martes","Miércoles","Jueves","Viernes","Sábado","Domingo"},0)-1)</f>
        <v/>
      </c>
    </row>
    <row r="337" customFormat="false" ht="15" hidden="false" customHeight="false" outlineLevel="0" collapsed="false">
      <c r="G337" s="23" t="str">
        <f aca="false">IF(OR(D337="",E337=""),"",E337*IFERROR(VLOOKUP(F337,Perfil!$B$19:$C$24,2,0),1))</f>
        <v/>
      </c>
      <c r="H337" s="23" t="str">
        <f aca="false">IF(G337="","",G337/100*INDEX(Alimentos!$E$5:$E$40,MATCH($D337,Alimentos!$B$5:$B$40,0)))</f>
        <v/>
      </c>
      <c r="I337" s="23" t="str">
        <f aca="false">IF(G337="","",G337/100*INDEX(Alimentos!$F$5:$F$40,MATCH($D337,Alimentos!$B$5:$B$40,0)))</f>
        <v/>
      </c>
      <c r="J337" s="23" t="str">
        <f aca="false">IF(G337="","",G337/100*INDEX(Alimentos!$G$5:$G$40,MATCH($D337,Alimentos!$B$5:$B$40,0)))</f>
        <v/>
      </c>
      <c r="K337" s="23" t="str">
        <f aca="false">IF(G337="","",G337/100*INDEX(Alimentos!$H$5:$H$40,MATCH($D337,Alimentos!$B$5:$B$40,0)))</f>
        <v/>
      </c>
      <c r="L337" s="24" t="str">
        <f aca="false">IF(OR(A337="",B337=""),"",Perfil!$C$13+(A337-1)*7+MATCH(B337,{"Lunes","Martes","Miércoles","Jueves","Viernes","Sábado","Domingo"},0)-1)</f>
        <v/>
      </c>
    </row>
    <row r="338" customFormat="false" ht="15" hidden="false" customHeight="false" outlineLevel="0" collapsed="false">
      <c r="G338" s="23" t="str">
        <f aca="false">IF(OR(D338="",E338=""),"",E338*IFERROR(VLOOKUP(F338,Perfil!$B$19:$C$24,2,0),1))</f>
        <v/>
      </c>
      <c r="H338" s="23" t="str">
        <f aca="false">IF(G338="","",G338/100*INDEX(Alimentos!$E$5:$E$40,MATCH($D338,Alimentos!$B$5:$B$40,0)))</f>
        <v/>
      </c>
      <c r="I338" s="23" t="str">
        <f aca="false">IF(G338="","",G338/100*INDEX(Alimentos!$F$5:$F$40,MATCH($D338,Alimentos!$B$5:$B$40,0)))</f>
        <v/>
      </c>
      <c r="J338" s="23" t="str">
        <f aca="false">IF(G338="","",G338/100*INDEX(Alimentos!$G$5:$G$40,MATCH($D338,Alimentos!$B$5:$B$40,0)))</f>
        <v/>
      </c>
      <c r="K338" s="23" t="str">
        <f aca="false">IF(G338="","",G338/100*INDEX(Alimentos!$H$5:$H$40,MATCH($D338,Alimentos!$B$5:$B$40,0)))</f>
        <v/>
      </c>
      <c r="L338" s="24" t="str">
        <f aca="false">IF(OR(A338="",B338=""),"",Perfil!$C$13+(A338-1)*7+MATCH(B338,{"Lunes","Martes","Miércoles","Jueves","Viernes","Sábado","Domingo"},0)-1)</f>
        <v/>
      </c>
    </row>
    <row r="339" customFormat="false" ht="15" hidden="false" customHeight="false" outlineLevel="0" collapsed="false">
      <c r="G339" s="23" t="str">
        <f aca="false">IF(OR(D339="",E339=""),"",E339*IFERROR(VLOOKUP(F339,Perfil!$B$19:$C$24,2,0),1))</f>
        <v/>
      </c>
      <c r="H339" s="23" t="str">
        <f aca="false">IF(G339="","",G339/100*INDEX(Alimentos!$E$5:$E$40,MATCH($D339,Alimentos!$B$5:$B$40,0)))</f>
        <v/>
      </c>
      <c r="I339" s="23" t="str">
        <f aca="false">IF(G339="","",G339/100*INDEX(Alimentos!$F$5:$F$40,MATCH($D339,Alimentos!$B$5:$B$40,0)))</f>
        <v/>
      </c>
      <c r="J339" s="23" t="str">
        <f aca="false">IF(G339="","",G339/100*INDEX(Alimentos!$G$5:$G$40,MATCH($D339,Alimentos!$B$5:$B$40,0)))</f>
        <v/>
      </c>
      <c r="K339" s="23" t="str">
        <f aca="false">IF(G339="","",G339/100*INDEX(Alimentos!$H$5:$H$40,MATCH($D339,Alimentos!$B$5:$B$40,0)))</f>
        <v/>
      </c>
      <c r="L339" s="24" t="str">
        <f aca="false">IF(OR(A339="",B339=""),"",Perfil!$C$13+(A339-1)*7+MATCH(B339,{"Lunes","Martes","Miércoles","Jueves","Viernes","Sábado","Domingo"},0)-1)</f>
        <v/>
      </c>
    </row>
    <row r="340" customFormat="false" ht="15" hidden="false" customHeight="false" outlineLevel="0" collapsed="false">
      <c r="G340" s="23" t="str">
        <f aca="false">IF(OR(D340="",E340=""),"",E340*IFERROR(VLOOKUP(F340,Perfil!$B$19:$C$24,2,0),1))</f>
        <v/>
      </c>
      <c r="H340" s="23" t="str">
        <f aca="false">IF(G340="","",G340/100*INDEX(Alimentos!$E$5:$E$40,MATCH($D340,Alimentos!$B$5:$B$40,0)))</f>
        <v/>
      </c>
      <c r="I340" s="23" t="str">
        <f aca="false">IF(G340="","",G340/100*INDEX(Alimentos!$F$5:$F$40,MATCH($D340,Alimentos!$B$5:$B$40,0)))</f>
        <v/>
      </c>
      <c r="J340" s="23" t="str">
        <f aca="false">IF(G340="","",G340/100*INDEX(Alimentos!$G$5:$G$40,MATCH($D340,Alimentos!$B$5:$B$40,0)))</f>
        <v/>
      </c>
      <c r="K340" s="23" t="str">
        <f aca="false">IF(G340="","",G340/100*INDEX(Alimentos!$H$5:$H$40,MATCH($D340,Alimentos!$B$5:$B$40,0)))</f>
        <v/>
      </c>
      <c r="L340" s="24" t="str">
        <f aca="false">IF(OR(A340="",B340=""),"",Perfil!$C$13+(A340-1)*7+MATCH(B340,{"Lunes","Martes","Miércoles","Jueves","Viernes","Sábado","Domingo"},0)-1)</f>
        <v/>
      </c>
    </row>
    <row r="341" customFormat="false" ht="15" hidden="false" customHeight="false" outlineLevel="0" collapsed="false">
      <c r="G341" s="23" t="str">
        <f aca="false">IF(OR(D341="",E341=""),"",E341*IFERROR(VLOOKUP(F341,Perfil!$B$19:$C$24,2,0),1))</f>
        <v/>
      </c>
      <c r="H341" s="23" t="str">
        <f aca="false">IF(G341="","",G341/100*INDEX(Alimentos!$E$5:$E$40,MATCH($D341,Alimentos!$B$5:$B$40,0)))</f>
        <v/>
      </c>
      <c r="I341" s="23" t="str">
        <f aca="false">IF(G341="","",G341/100*INDEX(Alimentos!$F$5:$F$40,MATCH($D341,Alimentos!$B$5:$B$40,0)))</f>
        <v/>
      </c>
      <c r="J341" s="23" t="str">
        <f aca="false">IF(G341="","",G341/100*INDEX(Alimentos!$G$5:$G$40,MATCH($D341,Alimentos!$B$5:$B$40,0)))</f>
        <v/>
      </c>
      <c r="K341" s="23" t="str">
        <f aca="false">IF(G341="","",G341/100*INDEX(Alimentos!$H$5:$H$40,MATCH($D341,Alimentos!$B$5:$B$40,0)))</f>
        <v/>
      </c>
      <c r="L341" s="24" t="str">
        <f aca="false">IF(OR(A341="",B341=""),"",Perfil!$C$13+(A341-1)*7+MATCH(B341,{"Lunes","Martes","Miércoles","Jueves","Viernes","Sábado","Domingo"},0)-1)</f>
        <v/>
      </c>
    </row>
    <row r="342" customFormat="false" ht="15" hidden="false" customHeight="false" outlineLevel="0" collapsed="false">
      <c r="G342" s="23" t="str">
        <f aca="false">IF(OR(D342="",E342=""),"",E342*IFERROR(VLOOKUP(F342,Perfil!$B$19:$C$24,2,0),1))</f>
        <v/>
      </c>
      <c r="H342" s="23" t="str">
        <f aca="false">IF(G342="","",G342/100*INDEX(Alimentos!$E$5:$E$40,MATCH($D342,Alimentos!$B$5:$B$40,0)))</f>
        <v/>
      </c>
      <c r="I342" s="23" t="str">
        <f aca="false">IF(G342="","",G342/100*INDEX(Alimentos!$F$5:$F$40,MATCH($D342,Alimentos!$B$5:$B$40,0)))</f>
        <v/>
      </c>
      <c r="J342" s="23" t="str">
        <f aca="false">IF(G342="","",G342/100*INDEX(Alimentos!$G$5:$G$40,MATCH($D342,Alimentos!$B$5:$B$40,0)))</f>
        <v/>
      </c>
      <c r="K342" s="23" t="str">
        <f aca="false">IF(G342="","",G342/100*INDEX(Alimentos!$H$5:$H$40,MATCH($D342,Alimentos!$B$5:$B$40,0)))</f>
        <v/>
      </c>
      <c r="L342" s="24" t="str">
        <f aca="false">IF(OR(A342="",B342=""),"",Perfil!$C$13+(A342-1)*7+MATCH(B342,{"Lunes","Martes","Miércoles","Jueves","Viernes","Sábado","Domingo"},0)-1)</f>
        <v/>
      </c>
    </row>
    <row r="343" customFormat="false" ht="15" hidden="false" customHeight="false" outlineLevel="0" collapsed="false">
      <c r="G343" s="23" t="str">
        <f aca="false">IF(OR(D343="",E343=""),"",E343*IFERROR(VLOOKUP(F343,Perfil!$B$19:$C$24,2,0),1))</f>
        <v/>
      </c>
      <c r="H343" s="23" t="str">
        <f aca="false">IF(G343="","",G343/100*INDEX(Alimentos!$E$5:$E$40,MATCH($D343,Alimentos!$B$5:$B$40,0)))</f>
        <v/>
      </c>
      <c r="I343" s="23" t="str">
        <f aca="false">IF(G343="","",G343/100*INDEX(Alimentos!$F$5:$F$40,MATCH($D343,Alimentos!$B$5:$B$40,0)))</f>
        <v/>
      </c>
      <c r="J343" s="23" t="str">
        <f aca="false">IF(G343="","",G343/100*INDEX(Alimentos!$G$5:$G$40,MATCH($D343,Alimentos!$B$5:$B$40,0)))</f>
        <v/>
      </c>
      <c r="K343" s="23" t="str">
        <f aca="false">IF(G343="","",G343/100*INDEX(Alimentos!$H$5:$H$40,MATCH($D343,Alimentos!$B$5:$B$40,0)))</f>
        <v/>
      </c>
      <c r="L343" s="24" t="str">
        <f aca="false">IF(OR(A343="",B343=""),"",Perfil!$C$13+(A343-1)*7+MATCH(B343,{"Lunes","Martes","Miércoles","Jueves","Viernes","Sábado","Domingo"},0)-1)</f>
        <v/>
      </c>
    </row>
    <row r="344" customFormat="false" ht="15" hidden="false" customHeight="false" outlineLevel="0" collapsed="false">
      <c r="G344" s="23" t="str">
        <f aca="false">IF(OR(D344="",E344=""),"",E344*IFERROR(VLOOKUP(F344,Perfil!$B$19:$C$24,2,0),1))</f>
        <v/>
      </c>
      <c r="H344" s="23" t="str">
        <f aca="false">IF(G344="","",G344/100*INDEX(Alimentos!$E$5:$E$40,MATCH($D344,Alimentos!$B$5:$B$40,0)))</f>
        <v/>
      </c>
      <c r="I344" s="23" t="str">
        <f aca="false">IF(G344="","",G344/100*INDEX(Alimentos!$F$5:$F$40,MATCH($D344,Alimentos!$B$5:$B$40,0)))</f>
        <v/>
      </c>
      <c r="J344" s="23" t="str">
        <f aca="false">IF(G344="","",G344/100*INDEX(Alimentos!$G$5:$G$40,MATCH($D344,Alimentos!$B$5:$B$40,0)))</f>
        <v/>
      </c>
      <c r="K344" s="23" t="str">
        <f aca="false">IF(G344="","",G344/100*INDEX(Alimentos!$H$5:$H$40,MATCH($D344,Alimentos!$B$5:$B$40,0)))</f>
        <v/>
      </c>
      <c r="L344" s="24" t="str">
        <f aca="false">IF(OR(A344="",B344=""),"",Perfil!$C$13+(A344-1)*7+MATCH(B344,{"Lunes","Martes","Miércoles","Jueves","Viernes","Sábado","Domingo"},0)-1)</f>
        <v/>
      </c>
    </row>
    <row r="345" customFormat="false" ht="15" hidden="false" customHeight="false" outlineLevel="0" collapsed="false">
      <c r="G345" s="23" t="str">
        <f aca="false">IF(OR(D345="",E345=""),"",E345*IFERROR(VLOOKUP(F345,Perfil!$B$19:$C$24,2,0),1))</f>
        <v/>
      </c>
      <c r="H345" s="23" t="str">
        <f aca="false">IF(G345="","",G345/100*INDEX(Alimentos!$E$5:$E$40,MATCH($D345,Alimentos!$B$5:$B$40,0)))</f>
        <v/>
      </c>
      <c r="I345" s="23" t="str">
        <f aca="false">IF(G345="","",G345/100*INDEX(Alimentos!$F$5:$F$40,MATCH($D345,Alimentos!$B$5:$B$40,0)))</f>
        <v/>
      </c>
      <c r="J345" s="23" t="str">
        <f aca="false">IF(G345="","",G345/100*INDEX(Alimentos!$G$5:$G$40,MATCH($D345,Alimentos!$B$5:$B$40,0)))</f>
        <v/>
      </c>
      <c r="K345" s="23" t="str">
        <f aca="false">IF(G345="","",G345/100*INDEX(Alimentos!$H$5:$H$40,MATCH($D345,Alimentos!$B$5:$B$40,0)))</f>
        <v/>
      </c>
      <c r="L345" s="24" t="str">
        <f aca="false">IF(OR(A345="",B345=""),"",Perfil!$C$13+(A345-1)*7+MATCH(B345,{"Lunes","Martes","Miércoles","Jueves","Viernes","Sábado","Domingo"},0)-1)</f>
        <v/>
      </c>
    </row>
    <row r="346" customFormat="false" ht="15" hidden="false" customHeight="false" outlineLevel="0" collapsed="false">
      <c r="G346" s="23" t="str">
        <f aca="false">IF(OR(D346="",E346=""),"",E346*IFERROR(VLOOKUP(F346,Perfil!$B$19:$C$24,2,0),1))</f>
        <v/>
      </c>
      <c r="H346" s="23" t="str">
        <f aca="false">IF(G346="","",G346/100*INDEX(Alimentos!$E$5:$E$40,MATCH($D346,Alimentos!$B$5:$B$40,0)))</f>
        <v/>
      </c>
      <c r="I346" s="23" t="str">
        <f aca="false">IF(G346="","",G346/100*INDEX(Alimentos!$F$5:$F$40,MATCH($D346,Alimentos!$B$5:$B$40,0)))</f>
        <v/>
      </c>
      <c r="J346" s="23" t="str">
        <f aca="false">IF(G346="","",G346/100*INDEX(Alimentos!$G$5:$G$40,MATCH($D346,Alimentos!$B$5:$B$40,0)))</f>
        <v/>
      </c>
      <c r="K346" s="23" t="str">
        <f aca="false">IF(G346="","",G346/100*INDEX(Alimentos!$H$5:$H$40,MATCH($D346,Alimentos!$B$5:$B$40,0)))</f>
        <v/>
      </c>
      <c r="L346" s="24" t="str">
        <f aca="false">IF(OR(A346="",B346=""),"",Perfil!$C$13+(A346-1)*7+MATCH(B346,{"Lunes","Martes","Miércoles","Jueves","Viernes","Sábado","Domingo"},0)-1)</f>
        <v/>
      </c>
    </row>
    <row r="347" customFormat="false" ht="15" hidden="false" customHeight="false" outlineLevel="0" collapsed="false">
      <c r="G347" s="23" t="str">
        <f aca="false">IF(OR(D347="",E347=""),"",E347*IFERROR(VLOOKUP(F347,Perfil!$B$19:$C$24,2,0),1))</f>
        <v/>
      </c>
      <c r="H347" s="23" t="str">
        <f aca="false">IF(G347="","",G347/100*INDEX(Alimentos!$E$5:$E$40,MATCH($D347,Alimentos!$B$5:$B$40,0)))</f>
        <v/>
      </c>
      <c r="I347" s="23" t="str">
        <f aca="false">IF(G347="","",G347/100*INDEX(Alimentos!$F$5:$F$40,MATCH($D347,Alimentos!$B$5:$B$40,0)))</f>
        <v/>
      </c>
      <c r="J347" s="23" t="str">
        <f aca="false">IF(G347="","",G347/100*INDEX(Alimentos!$G$5:$G$40,MATCH($D347,Alimentos!$B$5:$B$40,0)))</f>
        <v/>
      </c>
      <c r="K347" s="23" t="str">
        <f aca="false">IF(G347="","",G347/100*INDEX(Alimentos!$H$5:$H$40,MATCH($D347,Alimentos!$B$5:$B$40,0)))</f>
        <v/>
      </c>
      <c r="L347" s="24" t="str">
        <f aca="false">IF(OR(A347="",B347=""),"",Perfil!$C$13+(A347-1)*7+MATCH(B347,{"Lunes","Martes","Miércoles","Jueves","Viernes","Sábado","Domingo"},0)-1)</f>
        <v/>
      </c>
    </row>
    <row r="348" customFormat="false" ht="15" hidden="false" customHeight="false" outlineLevel="0" collapsed="false">
      <c r="G348" s="23" t="str">
        <f aca="false">IF(OR(D348="",E348=""),"",E348*IFERROR(VLOOKUP(F348,Perfil!$B$19:$C$24,2,0),1))</f>
        <v/>
      </c>
      <c r="H348" s="23" t="str">
        <f aca="false">IF(G348="","",G348/100*INDEX(Alimentos!$E$5:$E$40,MATCH($D348,Alimentos!$B$5:$B$40,0)))</f>
        <v/>
      </c>
      <c r="I348" s="23" t="str">
        <f aca="false">IF(G348="","",G348/100*INDEX(Alimentos!$F$5:$F$40,MATCH($D348,Alimentos!$B$5:$B$40,0)))</f>
        <v/>
      </c>
      <c r="J348" s="23" t="str">
        <f aca="false">IF(G348="","",G348/100*INDEX(Alimentos!$G$5:$G$40,MATCH($D348,Alimentos!$B$5:$B$40,0)))</f>
        <v/>
      </c>
      <c r="K348" s="23" t="str">
        <f aca="false">IF(G348="","",G348/100*INDEX(Alimentos!$H$5:$H$40,MATCH($D348,Alimentos!$B$5:$B$40,0)))</f>
        <v/>
      </c>
      <c r="L348" s="24" t="str">
        <f aca="false">IF(OR(A348="",B348=""),"",Perfil!$C$13+(A348-1)*7+MATCH(B348,{"Lunes","Martes","Miércoles","Jueves","Viernes","Sábado","Domingo"},0)-1)</f>
        <v/>
      </c>
    </row>
    <row r="349" customFormat="false" ht="15" hidden="false" customHeight="false" outlineLevel="0" collapsed="false">
      <c r="G349" s="23" t="str">
        <f aca="false">IF(OR(D349="",E349=""),"",E349*IFERROR(VLOOKUP(F349,Perfil!$B$19:$C$24,2,0),1))</f>
        <v/>
      </c>
      <c r="H349" s="23" t="str">
        <f aca="false">IF(G349="","",G349/100*INDEX(Alimentos!$E$5:$E$40,MATCH($D349,Alimentos!$B$5:$B$40,0)))</f>
        <v/>
      </c>
      <c r="I349" s="23" t="str">
        <f aca="false">IF(G349="","",G349/100*INDEX(Alimentos!$F$5:$F$40,MATCH($D349,Alimentos!$B$5:$B$40,0)))</f>
        <v/>
      </c>
      <c r="J349" s="23" t="str">
        <f aca="false">IF(G349="","",G349/100*INDEX(Alimentos!$G$5:$G$40,MATCH($D349,Alimentos!$B$5:$B$40,0)))</f>
        <v/>
      </c>
      <c r="K349" s="23" t="str">
        <f aca="false">IF(G349="","",G349/100*INDEX(Alimentos!$H$5:$H$40,MATCH($D349,Alimentos!$B$5:$B$40,0)))</f>
        <v/>
      </c>
      <c r="L349" s="24" t="str">
        <f aca="false">IF(OR(A349="",B349=""),"",Perfil!$C$13+(A349-1)*7+MATCH(B349,{"Lunes","Martes","Miércoles","Jueves","Viernes","Sábado","Domingo"},0)-1)</f>
        <v/>
      </c>
    </row>
    <row r="350" customFormat="false" ht="15" hidden="false" customHeight="false" outlineLevel="0" collapsed="false">
      <c r="G350" s="23" t="str">
        <f aca="false">IF(OR(D350="",E350=""),"",E350*IFERROR(VLOOKUP(F350,Perfil!$B$19:$C$24,2,0),1))</f>
        <v/>
      </c>
      <c r="H350" s="23" t="str">
        <f aca="false">IF(G350="","",G350/100*INDEX(Alimentos!$E$5:$E$40,MATCH($D350,Alimentos!$B$5:$B$40,0)))</f>
        <v/>
      </c>
      <c r="I350" s="23" t="str">
        <f aca="false">IF(G350="","",G350/100*INDEX(Alimentos!$F$5:$F$40,MATCH($D350,Alimentos!$B$5:$B$40,0)))</f>
        <v/>
      </c>
      <c r="J350" s="23" t="str">
        <f aca="false">IF(G350="","",G350/100*INDEX(Alimentos!$G$5:$G$40,MATCH($D350,Alimentos!$B$5:$B$40,0)))</f>
        <v/>
      </c>
      <c r="K350" s="23" t="str">
        <f aca="false">IF(G350="","",G350/100*INDEX(Alimentos!$H$5:$H$40,MATCH($D350,Alimentos!$B$5:$B$40,0)))</f>
        <v/>
      </c>
      <c r="L350" s="24" t="str">
        <f aca="false">IF(OR(A350="",B350=""),"",Perfil!$C$13+(A350-1)*7+MATCH(B350,{"Lunes","Martes","Miércoles","Jueves","Viernes","Sábado","Domingo"},0)-1)</f>
        <v/>
      </c>
    </row>
    <row r="351" customFormat="false" ht="15" hidden="false" customHeight="false" outlineLevel="0" collapsed="false">
      <c r="G351" s="23" t="str">
        <f aca="false">IF(OR(D351="",E351=""),"",E351*IFERROR(VLOOKUP(F351,Perfil!$B$19:$C$24,2,0),1))</f>
        <v/>
      </c>
      <c r="H351" s="23" t="str">
        <f aca="false">IF(G351="","",G351/100*INDEX(Alimentos!$E$5:$E$40,MATCH($D351,Alimentos!$B$5:$B$40,0)))</f>
        <v/>
      </c>
      <c r="I351" s="23" t="str">
        <f aca="false">IF(G351="","",G351/100*INDEX(Alimentos!$F$5:$F$40,MATCH($D351,Alimentos!$B$5:$B$40,0)))</f>
        <v/>
      </c>
      <c r="J351" s="23" t="str">
        <f aca="false">IF(G351="","",G351/100*INDEX(Alimentos!$G$5:$G$40,MATCH($D351,Alimentos!$B$5:$B$40,0)))</f>
        <v/>
      </c>
      <c r="K351" s="23" t="str">
        <f aca="false">IF(G351="","",G351/100*INDEX(Alimentos!$H$5:$H$40,MATCH($D351,Alimentos!$B$5:$B$40,0)))</f>
        <v/>
      </c>
      <c r="L351" s="24" t="str">
        <f aca="false">IF(OR(A351="",B351=""),"",Perfil!$C$13+(A351-1)*7+MATCH(B351,{"Lunes","Martes","Miércoles","Jueves","Viernes","Sábado","Domingo"},0)-1)</f>
        <v/>
      </c>
    </row>
    <row r="352" customFormat="false" ht="15" hidden="false" customHeight="false" outlineLevel="0" collapsed="false">
      <c r="G352" s="23" t="str">
        <f aca="false">IF(OR(D352="",E352=""),"",E352*IFERROR(VLOOKUP(F352,Perfil!$B$19:$C$24,2,0),1))</f>
        <v/>
      </c>
      <c r="H352" s="23" t="str">
        <f aca="false">IF(G352="","",G352/100*INDEX(Alimentos!$E$5:$E$40,MATCH($D352,Alimentos!$B$5:$B$40,0)))</f>
        <v/>
      </c>
      <c r="I352" s="23" t="str">
        <f aca="false">IF(G352="","",G352/100*INDEX(Alimentos!$F$5:$F$40,MATCH($D352,Alimentos!$B$5:$B$40,0)))</f>
        <v/>
      </c>
      <c r="J352" s="23" t="str">
        <f aca="false">IF(G352="","",G352/100*INDEX(Alimentos!$G$5:$G$40,MATCH($D352,Alimentos!$B$5:$B$40,0)))</f>
        <v/>
      </c>
      <c r="K352" s="23" t="str">
        <f aca="false">IF(G352="","",G352/100*INDEX(Alimentos!$H$5:$H$40,MATCH($D352,Alimentos!$B$5:$B$40,0)))</f>
        <v/>
      </c>
      <c r="L352" s="24" t="str">
        <f aca="false">IF(OR(A352="",B352=""),"",Perfil!$C$13+(A352-1)*7+MATCH(B352,{"Lunes","Martes","Miércoles","Jueves","Viernes","Sábado","Domingo"},0)-1)</f>
        <v/>
      </c>
    </row>
    <row r="353" customFormat="false" ht="15" hidden="false" customHeight="false" outlineLevel="0" collapsed="false">
      <c r="G353" s="23" t="str">
        <f aca="false">IF(OR(D353="",E353=""),"",E353*IFERROR(VLOOKUP(F353,Perfil!$B$19:$C$24,2,0),1))</f>
        <v/>
      </c>
      <c r="H353" s="23" t="str">
        <f aca="false">IF(G353="","",G353/100*INDEX(Alimentos!$E$5:$E$40,MATCH($D353,Alimentos!$B$5:$B$40,0)))</f>
        <v/>
      </c>
      <c r="I353" s="23" t="str">
        <f aca="false">IF(G353="","",G353/100*INDEX(Alimentos!$F$5:$F$40,MATCH($D353,Alimentos!$B$5:$B$40,0)))</f>
        <v/>
      </c>
      <c r="J353" s="23" t="str">
        <f aca="false">IF(G353="","",G353/100*INDEX(Alimentos!$G$5:$G$40,MATCH($D353,Alimentos!$B$5:$B$40,0)))</f>
        <v/>
      </c>
      <c r="K353" s="23" t="str">
        <f aca="false">IF(G353="","",G353/100*INDEX(Alimentos!$H$5:$H$40,MATCH($D353,Alimentos!$B$5:$B$40,0)))</f>
        <v/>
      </c>
      <c r="L353" s="24" t="str">
        <f aca="false">IF(OR(A353="",B353=""),"",Perfil!$C$13+(A353-1)*7+MATCH(B353,{"Lunes","Martes","Miércoles","Jueves","Viernes","Sábado","Domingo"},0)-1)</f>
        <v/>
      </c>
    </row>
    <row r="354" customFormat="false" ht="15" hidden="false" customHeight="false" outlineLevel="0" collapsed="false">
      <c r="G354" s="23" t="str">
        <f aca="false">IF(OR(D354="",E354=""),"",E354*IFERROR(VLOOKUP(F354,Perfil!$B$19:$C$24,2,0),1))</f>
        <v/>
      </c>
      <c r="H354" s="23" t="str">
        <f aca="false">IF(G354="","",G354/100*INDEX(Alimentos!$E$5:$E$40,MATCH($D354,Alimentos!$B$5:$B$40,0)))</f>
        <v/>
      </c>
      <c r="I354" s="23" t="str">
        <f aca="false">IF(G354="","",G354/100*INDEX(Alimentos!$F$5:$F$40,MATCH($D354,Alimentos!$B$5:$B$40,0)))</f>
        <v/>
      </c>
      <c r="J354" s="23" t="str">
        <f aca="false">IF(G354="","",G354/100*INDEX(Alimentos!$G$5:$G$40,MATCH($D354,Alimentos!$B$5:$B$40,0)))</f>
        <v/>
      </c>
      <c r="K354" s="23" t="str">
        <f aca="false">IF(G354="","",G354/100*INDEX(Alimentos!$H$5:$H$40,MATCH($D354,Alimentos!$B$5:$B$40,0)))</f>
        <v/>
      </c>
      <c r="L354" s="24" t="str">
        <f aca="false">IF(OR(A354="",B354=""),"",Perfil!$C$13+(A354-1)*7+MATCH(B354,{"Lunes","Martes","Miércoles","Jueves","Viernes","Sábado","Domingo"},0)-1)</f>
        <v/>
      </c>
    </row>
    <row r="355" customFormat="false" ht="15" hidden="false" customHeight="false" outlineLevel="0" collapsed="false">
      <c r="G355" s="23" t="str">
        <f aca="false">IF(OR(D355="",E355=""),"",E355*IFERROR(VLOOKUP(F355,Perfil!$B$19:$C$24,2,0),1))</f>
        <v/>
      </c>
      <c r="H355" s="23" t="str">
        <f aca="false">IF(G355="","",G355/100*INDEX(Alimentos!$E$5:$E$40,MATCH($D355,Alimentos!$B$5:$B$40,0)))</f>
        <v/>
      </c>
      <c r="I355" s="23" t="str">
        <f aca="false">IF(G355="","",G355/100*INDEX(Alimentos!$F$5:$F$40,MATCH($D355,Alimentos!$B$5:$B$40,0)))</f>
        <v/>
      </c>
      <c r="J355" s="23" t="str">
        <f aca="false">IF(G355="","",G355/100*INDEX(Alimentos!$G$5:$G$40,MATCH($D355,Alimentos!$B$5:$B$40,0)))</f>
        <v/>
      </c>
      <c r="K355" s="23" t="str">
        <f aca="false">IF(G355="","",G355/100*INDEX(Alimentos!$H$5:$H$40,MATCH($D355,Alimentos!$B$5:$B$40,0)))</f>
        <v/>
      </c>
      <c r="L355" s="24" t="str">
        <f aca="false">IF(OR(A355="",B355=""),"",Perfil!$C$13+(A355-1)*7+MATCH(B355,{"Lunes","Martes","Miércoles","Jueves","Viernes","Sábado","Domingo"},0)-1)</f>
        <v/>
      </c>
    </row>
    <row r="356" customFormat="false" ht="15" hidden="false" customHeight="false" outlineLevel="0" collapsed="false">
      <c r="G356" s="23" t="str">
        <f aca="false">IF(OR(D356="",E356=""),"",E356*IFERROR(VLOOKUP(F356,Perfil!$B$19:$C$24,2,0),1))</f>
        <v/>
      </c>
      <c r="H356" s="23" t="str">
        <f aca="false">IF(G356="","",G356/100*INDEX(Alimentos!$E$5:$E$40,MATCH($D356,Alimentos!$B$5:$B$40,0)))</f>
        <v/>
      </c>
      <c r="I356" s="23" t="str">
        <f aca="false">IF(G356="","",G356/100*INDEX(Alimentos!$F$5:$F$40,MATCH($D356,Alimentos!$B$5:$B$40,0)))</f>
        <v/>
      </c>
      <c r="J356" s="23" t="str">
        <f aca="false">IF(G356="","",G356/100*INDEX(Alimentos!$G$5:$G$40,MATCH($D356,Alimentos!$B$5:$B$40,0)))</f>
        <v/>
      </c>
      <c r="K356" s="23" t="str">
        <f aca="false">IF(G356="","",G356/100*INDEX(Alimentos!$H$5:$H$40,MATCH($D356,Alimentos!$B$5:$B$40,0)))</f>
        <v/>
      </c>
      <c r="L356" s="24" t="str">
        <f aca="false">IF(OR(A356="",B356=""),"",Perfil!$C$13+(A356-1)*7+MATCH(B356,{"Lunes","Martes","Miércoles","Jueves","Viernes","Sábado","Domingo"},0)-1)</f>
        <v/>
      </c>
    </row>
    <row r="357" customFormat="false" ht="15" hidden="false" customHeight="false" outlineLevel="0" collapsed="false">
      <c r="G357" s="23" t="str">
        <f aca="false">IF(OR(D357="",E357=""),"",E357*IFERROR(VLOOKUP(F357,Perfil!$B$19:$C$24,2,0),1))</f>
        <v/>
      </c>
      <c r="H357" s="23" t="str">
        <f aca="false">IF(G357="","",G357/100*INDEX(Alimentos!$E$5:$E$40,MATCH($D357,Alimentos!$B$5:$B$40,0)))</f>
        <v/>
      </c>
      <c r="I357" s="23" t="str">
        <f aca="false">IF(G357="","",G357/100*INDEX(Alimentos!$F$5:$F$40,MATCH($D357,Alimentos!$B$5:$B$40,0)))</f>
        <v/>
      </c>
      <c r="J357" s="23" t="str">
        <f aca="false">IF(G357="","",G357/100*INDEX(Alimentos!$G$5:$G$40,MATCH($D357,Alimentos!$B$5:$B$40,0)))</f>
        <v/>
      </c>
      <c r="K357" s="23" t="str">
        <f aca="false">IF(G357="","",G357/100*INDEX(Alimentos!$H$5:$H$40,MATCH($D357,Alimentos!$B$5:$B$40,0)))</f>
        <v/>
      </c>
      <c r="L357" s="24" t="str">
        <f aca="false">IF(OR(A357="",B357=""),"",Perfil!$C$13+(A357-1)*7+MATCH(B357,{"Lunes","Martes","Miércoles","Jueves","Viernes","Sábado","Domingo"},0)-1)</f>
        <v/>
      </c>
    </row>
    <row r="358" customFormat="false" ht="15" hidden="false" customHeight="false" outlineLevel="0" collapsed="false">
      <c r="G358" s="23" t="str">
        <f aca="false">IF(OR(D358="",E358=""),"",E358*IFERROR(VLOOKUP(F358,Perfil!$B$19:$C$24,2,0),1))</f>
        <v/>
      </c>
      <c r="H358" s="23" t="str">
        <f aca="false">IF(G358="","",G358/100*INDEX(Alimentos!$E$5:$E$40,MATCH($D358,Alimentos!$B$5:$B$40,0)))</f>
        <v/>
      </c>
      <c r="I358" s="23" t="str">
        <f aca="false">IF(G358="","",G358/100*INDEX(Alimentos!$F$5:$F$40,MATCH($D358,Alimentos!$B$5:$B$40,0)))</f>
        <v/>
      </c>
      <c r="J358" s="23" t="str">
        <f aca="false">IF(G358="","",G358/100*INDEX(Alimentos!$G$5:$G$40,MATCH($D358,Alimentos!$B$5:$B$40,0)))</f>
        <v/>
      </c>
      <c r="K358" s="23" t="str">
        <f aca="false">IF(G358="","",G358/100*INDEX(Alimentos!$H$5:$H$40,MATCH($D358,Alimentos!$B$5:$B$40,0)))</f>
        <v/>
      </c>
      <c r="L358" s="24" t="str">
        <f aca="false">IF(OR(A358="",B358=""),"",Perfil!$C$13+(A358-1)*7+MATCH(B358,{"Lunes","Martes","Miércoles","Jueves","Viernes","Sábado","Domingo"},0)-1)</f>
        <v/>
      </c>
    </row>
    <row r="359" customFormat="false" ht="15" hidden="false" customHeight="false" outlineLevel="0" collapsed="false">
      <c r="G359" s="23" t="str">
        <f aca="false">IF(OR(D359="",E359=""),"",E359*IFERROR(VLOOKUP(F359,Perfil!$B$19:$C$24,2,0),1))</f>
        <v/>
      </c>
      <c r="H359" s="23" t="str">
        <f aca="false">IF(G359="","",G359/100*INDEX(Alimentos!$E$5:$E$40,MATCH($D359,Alimentos!$B$5:$B$40,0)))</f>
        <v/>
      </c>
      <c r="I359" s="23" t="str">
        <f aca="false">IF(G359="","",G359/100*INDEX(Alimentos!$F$5:$F$40,MATCH($D359,Alimentos!$B$5:$B$40,0)))</f>
        <v/>
      </c>
      <c r="J359" s="23" t="str">
        <f aca="false">IF(G359="","",G359/100*INDEX(Alimentos!$G$5:$G$40,MATCH($D359,Alimentos!$B$5:$B$40,0)))</f>
        <v/>
      </c>
      <c r="K359" s="23" t="str">
        <f aca="false">IF(G359="","",G359/100*INDEX(Alimentos!$H$5:$H$40,MATCH($D359,Alimentos!$B$5:$B$40,0)))</f>
        <v/>
      </c>
      <c r="L359" s="24" t="str">
        <f aca="false">IF(OR(A359="",B359=""),"",Perfil!$C$13+(A359-1)*7+MATCH(B359,{"Lunes","Martes","Miércoles","Jueves","Viernes","Sábado","Domingo"},0)-1)</f>
        <v/>
      </c>
    </row>
    <row r="360" customFormat="false" ht="15" hidden="false" customHeight="false" outlineLevel="0" collapsed="false">
      <c r="G360" s="23" t="str">
        <f aca="false">IF(OR(D360="",E360=""),"",E360*IFERROR(VLOOKUP(F360,Perfil!$B$19:$C$24,2,0),1))</f>
        <v/>
      </c>
      <c r="H360" s="23" t="str">
        <f aca="false">IF(G360="","",G360/100*INDEX(Alimentos!$E$5:$E$40,MATCH($D360,Alimentos!$B$5:$B$40,0)))</f>
        <v/>
      </c>
      <c r="I360" s="23" t="str">
        <f aca="false">IF(G360="","",G360/100*INDEX(Alimentos!$F$5:$F$40,MATCH($D360,Alimentos!$B$5:$B$40,0)))</f>
        <v/>
      </c>
      <c r="J360" s="23" t="str">
        <f aca="false">IF(G360="","",G360/100*INDEX(Alimentos!$G$5:$G$40,MATCH($D360,Alimentos!$B$5:$B$40,0)))</f>
        <v/>
      </c>
      <c r="K360" s="23" t="str">
        <f aca="false">IF(G360="","",G360/100*INDEX(Alimentos!$H$5:$H$40,MATCH($D360,Alimentos!$B$5:$B$40,0)))</f>
        <v/>
      </c>
      <c r="L360" s="24" t="str">
        <f aca="false">IF(OR(A360="",B360=""),"",Perfil!$C$13+(A360-1)*7+MATCH(B360,{"Lunes","Martes","Miércoles","Jueves","Viernes","Sábado","Domingo"},0)-1)</f>
        <v/>
      </c>
    </row>
    <row r="361" customFormat="false" ht="15" hidden="false" customHeight="false" outlineLevel="0" collapsed="false">
      <c r="G361" s="23" t="str">
        <f aca="false">IF(OR(D361="",E361=""),"",E361*IFERROR(VLOOKUP(F361,Perfil!$B$19:$C$24,2,0),1))</f>
        <v/>
      </c>
      <c r="H361" s="23" t="str">
        <f aca="false">IF(G361="","",G361/100*INDEX(Alimentos!$E$5:$E$40,MATCH($D361,Alimentos!$B$5:$B$40,0)))</f>
        <v/>
      </c>
      <c r="I361" s="23" t="str">
        <f aca="false">IF(G361="","",G361/100*INDEX(Alimentos!$F$5:$F$40,MATCH($D361,Alimentos!$B$5:$B$40,0)))</f>
        <v/>
      </c>
      <c r="J361" s="23" t="str">
        <f aca="false">IF(G361="","",G361/100*INDEX(Alimentos!$G$5:$G$40,MATCH($D361,Alimentos!$B$5:$B$40,0)))</f>
        <v/>
      </c>
      <c r="K361" s="23" t="str">
        <f aca="false">IF(G361="","",G361/100*INDEX(Alimentos!$H$5:$H$40,MATCH($D361,Alimentos!$B$5:$B$40,0)))</f>
        <v/>
      </c>
      <c r="L361" s="24" t="str">
        <f aca="false">IF(OR(A361="",B361=""),"",Perfil!$C$13+(A361-1)*7+MATCH(B361,{"Lunes","Martes","Miércoles","Jueves","Viernes","Sábado","Domingo"},0)-1)</f>
        <v/>
      </c>
    </row>
    <row r="362" customFormat="false" ht="15" hidden="false" customHeight="false" outlineLevel="0" collapsed="false">
      <c r="G362" s="23" t="str">
        <f aca="false">IF(OR(D362="",E362=""),"",E362*IFERROR(VLOOKUP(F362,Perfil!$B$19:$C$24,2,0),1))</f>
        <v/>
      </c>
      <c r="H362" s="23" t="str">
        <f aca="false">IF(G362="","",G362/100*INDEX(Alimentos!$E$5:$E$40,MATCH($D362,Alimentos!$B$5:$B$40,0)))</f>
        <v/>
      </c>
      <c r="I362" s="23" t="str">
        <f aca="false">IF(G362="","",G362/100*INDEX(Alimentos!$F$5:$F$40,MATCH($D362,Alimentos!$B$5:$B$40,0)))</f>
        <v/>
      </c>
      <c r="J362" s="23" t="str">
        <f aca="false">IF(G362="","",G362/100*INDEX(Alimentos!$G$5:$G$40,MATCH($D362,Alimentos!$B$5:$B$40,0)))</f>
        <v/>
      </c>
      <c r="K362" s="23" t="str">
        <f aca="false">IF(G362="","",G362/100*INDEX(Alimentos!$H$5:$H$40,MATCH($D362,Alimentos!$B$5:$B$40,0)))</f>
        <v/>
      </c>
      <c r="L362" s="24" t="str">
        <f aca="false">IF(OR(A362="",B362=""),"",Perfil!$C$13+(A362-1)*7+MATCH(B362,{"Lunes","Martes","Miércoles","Jueves","Viernes","Sábado","Domingo"},0)-1)</f>
        <v/>
      </c>
    </row>
    <row r="363" customFormat="false" ht="15" hidden="false" customHeight="false" outlineLevel="0" collapsed="false">
      <c r="G363" s="23" t="str">
        <f aca="false">IF(OR(D363="",E363=""),"",E363*IFERROR(VLOOKUP(F363,Perfil!$B$19:$C$24,2,0),1))</f>
        <v/>
      </c>
      <c r="H363" s="23" t="str">
        <f aca="false">IF(G363="","",G363/100*INDEX(Alimentos!$E$5:$E$40,MATCH($D363,Alimentos!$B$5:$B$40,0)))</f>
        <v/>
      </c>
      <c r="I363" s="23" t="str">
        <f aca="false">IF(G363="","",G363/100*INDEX(Alimentos!$F$5:$F$40,MATCH($D363,Alimentos!$B$5:$B$40,0)))</f>
        <v/>
      </c>
      <c r="J363" s="23" t="str">
        <f aca="false">IF(G363="","",G363/100*INDEX(Alimentos!$G$5:$G$40,MATCH($D363,Alimentos!$B$5:$B$40,0)))</f>
        <v/>
      </c>
      <c r="K363" s="23" t="str">
        <f aca="false">IF(G363="","",G363/100*INDEX(Alimentos!$H$5:$H$40,MATCH($D363,Alimentos!$B$5:$B$40,0)))</f>
        <v/>
      </c>
      <c r="L363" s="24" t="str">
        <f aca="false">IF(OR(A363="",B363=""),"",Perfil!$C$13+(A363-1)*7+MATCH(B363,{"Lunes","Martes","Miércoles","Jueves","Viernes","Sábado","Domingo"},0)-1)</f>
        <v/>
      </c>
    </row>
    <row r="364" customFormat="false" ht="15" hidden="false" customHeight="false" outlineLevel="0" collapsed="false">
      <c r="G364" s="23" t="str">
        <f aca="false">IF(OR(D364="",E364=""),"",E364*IFERROR(VLOOKUP(F364,Perfil!$B$19:$C$24,2,0),1))</f>
        <v/>
      </c>
      <c r="H364" s="23" t="str">
        <f aca="false">IF(G364="","",G364/100*INDEX(Alimentos!$E$5:$E$40,MATCH($D364,Alimentos!$B$5:$B$40,0)))</f>
        <v/>
      </c>
      <c r="I364" s="23" t="str">
        <f aca="false">IF(G364="","",G364/100*INDEX(Alimentos!$F$5:$F$40,MATCH($D364,Alimentos!$B$5:$B$40,0)))</f>
        <v/>
      </c>
      <c r="J364" s="23" t="str">
        <f aca="false">IF(G364="","",G364/100*INDEX(Alimentos!$G$5:$G$40,MATCH($D364,Alimentos!$B$5:$B$40,0)))</f>
        <v/>
      </c>
      <c r="K364" s="23" t="str">
        <f aca="false">IF(G364="","",G364/100*INDEX(Alimentos!$H$5:$H$40,MATCH($D364,Alimentos!$B$5:$B$40,0)))</f>
        <v/>
      </c>
      <c r="L364" s="24" t="str">
        <f aca="false">IF(OR(A364="",B364=""),"",Perfil!$C$13+(A364-1)*7+MATCH(B364,{"Lunes","Martes","Miércoles","Jueves","Viernes","Sábado","Domingo"},0)-1)</f>
        <v/>
      </c>
    </row>
    <row r="365" customFormat="false" ht="15" hidden="false" customHeight="false" outlineLevel="0" collapsed="false">
      <c r="G365" s="23" t="str">
        <f aca="false">IF(OR(D365="",E365=""),"",E365*IFERROR(VLOOKUP(F365,Perfil!$B$19:$C$24,2,0),1))</f>
        <v/>
      </c>
      <c r="H365" s="23" t="str">
        <f aca="false">IF(G365="","",G365/100*INDEX(Alimentos!$E$5:$E$40,MATCH($D365,Alimentos!$B$5:$B$40,0)))</f>
        <v/>
      </c>
      <c r="I365" s="23" t="str">
        <f aca="false">IF(G365="","",G365/100*INDEX(Alimentos!$F$5:$F$40,MATCH($D365,Alimentos!$B$5:$B$40,0)))</f>
        <v/>
      </c>
      <c r="J365" s="23" t="str">
        <f aca="false">IF(G365="","",G365/100*INDEX(Alimentos!$G$5:$G$40,MATCH($D365,Alimentos!$B$5:$B$40,0)))</f>
        <v/>
      </c>
      <c r="K365" s="23" t="str">
        <f aca="false">IF(G365="","",G365/100*INDEX(Alimentos!$H$5:$H$40,MATCH($D365,Alimentos!$B$5:$B$40,0)))</f>
        <v/>
      </c>
      <c r="L365" s="24" t="str">
        <f aca="false">IF(OR(A365="",B365=""),"",Perfil!$C$13+(A365-1)*7+MATCH(B365,{"Lunes","Martes","Miércoles","Jueves","Viernes","Sábado","Domingo"},0)-1)</f>
        <v/>
      </c>
    </row>
    <row r="366" customFormat="false" ht="15" hidden="false" customHeight="false" outlineLevel="0" collapsed="false">
      <c r="G366" s="23" t="str">
        <f aca="false">IF(OR(D366="",E366=""),"",E366*IFERROR(VLOOKUP(F366,Perfil!$B$19:$C$24,2,0),1))</f>
        <v/>
      </c>
      <c r="H366" s="23" t="str">
        <f aca="false">IF(G366="","",G366/100*INDEX(Alimentos!$E$5:$E$40,MATCH($D366,Alimentos!$B$5:$B$40,0)))</f>
        <v/>
      </c>
      <c r="I366" s="23" t="str">
        <f aca="false">IF(G366="","",G366/100*INDEX(Alimentos!$F$5:$F$40,MATCH($D366,Alimentos!$B$5:$B$40,0)))</f>
        <v/>
      </c>
      <c r="J366" s="23" t="str">
        <f aca="false">IF(G366="","",G366/100*INDEX(Alimentos!$G$5:$G$40,MATCH($D366,Alimentos!$B$5:$B$40,0)))</f>
        <v/>
      </c>
      <c r="K366" s="23" t="str">
        <f aca="false">IF(G366="","",G366/100*INDEX(Alimentos!$H$5:$H$40,MATCH($D366,Alimentos!$B$5:$B$40,0)))</f>
        <v/>
      </c>
      <c r="L366" s="24" t="str">
        <f aca="false">IF(OR(A366="",B366=""),"",Perfil!$C$13+(A366-1)*7+MATCH(B366,{"Lunes","Martes","Miércoles","Jueves","Viernes","Sábado","Domingo"},0)-1)</f>
        <v/>
      </c>
    </row>
    <row r="367" customFormat="false" ht="15" hidden="false" customHeight="false" outlineLevel="0" collapsed="false">
      <c r="G367" s="23" t="str">
        <f aca="false">IF(OR(D367="",E367=""),"",E367*IFERROR(VLOOKUP(F367,Perfil!$B$19:$C$24,2,0),1))</f>
        <v/>
      </c>
      <c r="H367" s="23" t="str">
        <f aca="false">IF(G367="","",G367/100*INDEX(Alimentos!$E$5:$E$40,MATCH($D367,Alimentos!$B$5:$B$40,0)))</f>
        <v/>
      </c>
      <c r="I367" s="23" t="str">
        <f aca="false">IF(G367="","",G367/100*INDEX(Alimentos!$F$5:$F$40,MATCH($D367,Alimentos!$B$5:$B$40,0)))</f>
        <v/>
      </c>
      <c r="J367" s="23" t="str">
        <f aca="false">IF(G367="","",G367/100*INDEX(Alimentos!$G$5:$G$40,MATCH($D367,Alimentos!$B$5:$B$40,0)))</f>
        <v/>
      </c>
      <c r="K367" s="23" t="str">
        <f aca="false">IF(G367="","",G367/100*INDEX(Alimentos!$H$5:$H$40,MATCH($D367,Alimentos!$B$5:$B$40,0)))</f>
        <v/>
      </c>
      <c r="L367" s="24" t="str">
        <f aca="false">IF(OR(A367="",B367=""),"",Perfil!$C$13+(A367-1)*7+MATCH(B367,{"Lunes","Martes","Miércoles","Jueves","Viernes","Sábado","Domingo"},0)-1)</f>
        <v/>
      </c>
    </row>
    <row r="368" customFormat="false" ht="15" hidden="false" customHeight="false" outlineLevel="0" collapsed="false">
      <c r="G368" s="23" t="str">
        <f aca="false">IF(OR(D368="",E368=""),"",E368*IFERROR(VLOOKUP(F368,Perfil!$B$19:$C$24,2,0),1))</f>
        <v/>
      </c>
      <c r="H368" s="23" t="str">
        <f aca="false">IF(G368="","",G368/100*INDEX(Alimentos!$E$5:$E$40,MATCH($D368,Alimentos!$B$5:$B$40,0)))</f>
        <v/>
      </c>
      <c r="I368" s="23" t="str">
        <f aca="false">IF(G368="","",G368/100*INDEX(Alimentos!$F$5:$F$40,MATCH($D368,Alimentos!$B$5:$B$40,0)))</f>
        <v/>
      </c>
      <c r="J368" s="23" t="str">
        <f aca="false">IF(G368="","",G368/100*INDEX(Alimentos!$G$5:$G$40,MATCH($D368,Alimentos!$B$5:$B$40,0)))</f>
        <v/>
      </c>
      <c r="K368" s="23" t="str">
        <f aca="false">IF(G368="","",G368/100*INDEX(Alimentos!$H$5:$H$40,MATCH($D368,Alimentos!$B$5:$B$40,0)))</f>
        <v/>
      </c>
      <c r="L368" s="24" t="str">
        <f aca="false">IF(OR(A368="",B368=""),"",Perfil!$C$13+(A368-1)*7+MATCH(B368,{"Lunes","Martes","Miércoles","Jueves","Viernes","Sábado","Domingo"},0)-1)</f>
        <v/>
      </c>
    </row>
    <row r="369" customFormat="false" ht="15" hidden="false" customHeight="false" outlineLevel="0" collapsed="false">
      <c r="G369" s="23" t="str">
        <f aca="false">IF(OR(D369="",E369=""),"",E369*IFERROR(VLOOKUP(F369,Perfil!$B$19:$C$24,2,0),1))</f>
        <v/>
      </c>
      <c r="H369" s="23" t="str">
        <f aca="false">IF(G369="","",G369/100*INDEX(Alimentos!$E$5:$E$40,MATCH($D369,Alimentos!$B$5:$B$40,0)))</f>
        <v/>
      </c>
      <c r="I369" s="23" t="str">
        <f aca="false">IF(G369="","",G369/100*INDEX(Alimentos!$F$5:$F$40,MATCH($D369,Alimentos!$B$5:$B$40,0)))</f>
        <v/>
      </c>
      <c r="J369" s="23" t="str">
        <f aca="false">IF(G369="","",G369/100*INDEX(Alimentos!$G$5:$G$40,MATCH($D369,Alimentos!$B$5:$B$40,0)))</f>
        <v/>
      </c>
      <c r="K369" s="23" t="str">
        <f aca="false">IF(G369="","",G369/100*INDEX(Alimentos!$H$5:$H$40,MATCH($D369,Alimentos!$B$5:$B$40,0)))</f>
        <v/>
      </c>
      <c r="L369" s="24" t="str">
        <f aca="false">IF(OR(A369="",B369=""),"",Perfil!$C$13+(A369-1)*7+MATCH(B369,{"Lunes","Martes","Miércoles","Jueves","Viernes","Sábado","Domingo"},0)-1)</f>
        <v/>
      </c>
    </row>
    <row r="370" customFormat="false" ht="15" hidden="false" customHeight="false" outlineLevel="0" collapsed="false">
      <c r="G370" s="23" t="str">
        <f aca="false">IF(OR(D370="",E370=""),"",E370*IFERROR(VLOOKUP(F370,Perfil!$B$19:$C$24,2,0),1))</f>
        <v/>
      </c>
      <c r="H370" s="23" t="str">
        <f aca="false">IF(G370="","",G370/100*INDEX(Alimentos!$E$5:$E$40,MATCH($D370,Alimentos!$B$5:$B$40,0)))</f>
        <v/>
      </c>
      <c r="I370" s="23" t="str">
        <f aca="false">IF(G370="","",G370/100*INDEX(Alimentos!$F$5:$F$40,MATCH($D370,Alimentos!$B$5:$B$40,0)))</f>
        <v/>
      </c>
      <c r="J370" s="23" t="str">
        <f aca="false">IF(G370="","",G370/100*INDEX(Alimentos!$G$5:$G$40,MATCH($D370,Alimentos!$B$5:$B$40,0)))</f>
        <v/>
      </c>
      <c r="K370" s="23" t="str">
        <f aca="false">IF(G370="","",G370/100*INDEX(Alimentos!$H$5:$H$40,MATCH($D370,Alimentos!$B$5:$B$40,0)))</f>
        <v/>
      </c>
      <c r="L370" s="24" t="str">
        <f aca="false">IF(OR(A370="",B370=""),"",Perfil!$C$13+(A370-1)*7+MATCH(B370,{"Lunes","Martes","Miércoles","Jueves","Viernes","Sábado","Domingo"},0)-1)</f>
        <v/>
      </c>
    </row>
    <row r="371" customFormat="false" ht="15" hidden="false" customHeight="false" outlineLevel="0" collapsed="false">
      <c r="G371" s="23" t="str">
        <f aca="false">IF(OR(D371="",E371=""),"",E371*IFERROR(VLOOKUP(F371,Perfil!$B$19:$C$24,2,0),1))</f>
        <v/>
      </c>
      <c r="H371" s="23" t="str">
        <f aca="false">IF(G371="","",G371/100*INDEX(Alimentos!$E$5:$E$40,MATCH($D371,Alimentos!$B$5:$B$40,0)))</f>
        <v/>
      </c>
      <c r="I371" s="23" t="str">
        <f aca="false">IF(G371="","",G371/100*INDEX(Alimentos!$F$5:$F$40,MATCH($D371,Alimentos!$B$5:$B$40,0)))</f>
        <v/>
      </c>
      <c r="J371" s="23" t="str">
        <f aca="false">IF(G371="","",G371/100*INDEX(Alimentos!$G$5:$G$40,MATCH($D371,Alimentos!$B$5:$B$40,0)))</f>
        <v/>
      </c>
      <c r="K371" s="23" t="str">
        <f aca="false">IF(G371="","",G371/100*INDEX(Alimentos!$H$5:$H$40,MATCH($D371,Alimentos!$B$5:$B$40,0)))</f>
        <v/>
      </c>
      <c r="L371" s="24" t="str">
        <f aca="false">IF(OR(A371="",B371=""),"",Perfil!$C$13+(A371-1)*7+MATCH(B371,{"Lunes","Martes","Miércoles","Jueves","Viernes","Sábado","Domingo"},0)-1)</f>
        <v/>
      </c>
    </row>
    <row r="372" customFormat="false" ht="15" hidden="false" customHeight="false" outlineLevel="0" collapsed="false">
      <c r="G372" s="23" t="str">
        <f aca="false">IF(OR(D372="",E372=""),"",E372*IFERROR(VLOOKUP(F372,Perfil!$B$19:$C$24,2,0),1))</f>
        <v/>
      </c>
      <c r="H372" s="23" t="str">
        <f aca="false">IF(G372="","",G372/100*INDEX(Alimentos!$E$5:$E$40,MATCH($D372,Alimentos!$B$5:$B$40,0)))</f>
        <v/>
      </c>
      <c r="I372" s="23" t="str">
        <f aca="false">IF(G372="","",G372/100*INDEX(Alimentos!$F$5:$F$40,MATCH($D372,Alimentos!$B$5:$B$40,0)))</f>
        <v/>
      </c>
      <c r="J372" s="23" t="str">
        <f aca="false">IF(G372="","",G372/100*INDEX(Alimentos!$G$5:$G$40,MATCH($D372,Alimentos!$B$5:$B$40,0)))</f>
        <v/>
      </c>
      <c r="K372" s="23" t="str">
        <f aca="false">IF(G372="","",G372/100*INDEX(Alimentos!$H$5:$H$40,MATCH($D372,Alimentos!$B$5:$B$40,0)))</f>
        <v/>
      </c>
      <c r="L372" s="24" t="str">
        <f aca="false">IF(OR(A372="",B372=""),"",Perfil!$C$13+(A372-1)*7+MATCH(B372,{"Lunes","Martes","Miércoles","Jueves","Viernes","Sábado","Domingo"},0)-1)</f>
        <v/>
      </c>
    </row>
    <row r="373" customFormat="false" ht="15" hidden="false" customHeight="false" outlineLevel="0" collapsed="false">
      <c r="G373" s="23" t="str">
        <f aca="false">IF(OR(D373="",E373=""),"",E373*IFERROR(VLOOKUP(F373,Perfil!$B$19:$C$24,2,0),1))</f>
        <v/>
      </c>
      <c r="H373" s="23" t="str">
        <f aca="false">IF(G373="","",G373/100*INDEX(Alimentos!$E$5:$E$40,MATCH($D373,Alimentos!$B$5:$B$40,0)))</f>
        <v/>
      </c>
      <c r="I373" s="23" t="str">
        <f aca="false">IF(G373="","",G373/100*INDEX(Alimentos!$F$5:$F$40,MATCH($D373,Alimentos!$B$5:$B$40,0)))</f>
        <v/>
      </c>
      <c r="J373" s="23" t="str">
        <f aca="false">IF(G373="","",G373/100*INDEX(Alimentos!$G$5:$G$40,MATCH($D373,Alimentos!$B$5:$B$40,0)))</f>
        <v/>
      </c>
      <c r="K373" s="23" t="str">
        <f aca="false">IF(G373="","",G373/100*INDEX(Alimentos!$H$5:$H$40,MATCH($D373,Alimentos!$B$5:$B$40,0)))</f>
        <v/>
      </c>
      <c r="L373" s="24" t="str">
        <f aca="false">IF(OR(A373="",B373=""),"",Perfil!$C$13+(A373-1)*7+MATCH(B373,{"Lunes","Martes","Miércoles","Jueves","Viernes","Sábado","Domingo"},0)-1)</f>
        <v/>
      </c>
    </row>
    <row r="374" customFormat="false" ht="15" hidden="false" customHeight="false" outlineLevel="0" collapsed="false">
      <c r="G374" s="23" t="str">
        <f aca="false">IF(OR(D374="",E374=""),"",E374*IFERROR(VLOOKUP(F374,Perfil!$B$19:$C$24,2,0),1))</f>
        <v/>
      </c>
      <c r="H374" s="23" t="str">
        <f aca="false">IF(G374="","",G374/100*INDEX(Alimentos!$E$5:$E$40,MATCH($D374,Alimentos!$B$5:$B$40,0)))</f>
        <v/>
      </c>
      <c r="I374" s="23" t="str">
        <f aca="false">IF(G374="","",G374/100*INDEX(Alimentos!$F$5:$F$40,MATCH($D374,Alimentos!$B$5:$B$40,0)))</f>
        <v/>
      </c>
      <c r="J374" s="23" t="str">
        <f aca="false">IF(G374="","",G374/100*INDEX(Alimentos!$G$5:$G$40,MATCH($D374,Alimentos!$B$5:$B$40,0)))</f>
        <v/>
      </c>
      <c r="K374" s="23" t="str">
        <f aca="false">IF(G374="","",G374/100*INDEX(Alimentos!$H$5:$H$40,MATCH($D374,Alimentos!$B$5:$B$40,0)))</f>
        <v/>
      </c>
      <c r="L374" s="24" t="str">
        <f aca="false">IF(OR(A374="",B374=""),"",Perfil!$C$13+(A374-1)*7+MATCH(B374,{"Lunes","Martes","Miércoles","Jueves","Viernes","Sábado","Domingo"},0)-1)</f>
        <v/>
      </c>
    </row>
    <row r="375" customFormat="false" ht="15" hidden="false" customHeight="false" outlineLevel="0" collapsed="false">
      <c r="G375" s="23" t="str">
        <f aca="false">IF(OR(D375="",E375=""),"",E375*IFERROR(VLOOKUP(F375,Perfil!$B$19:$C$24,2,0),1))</f>
        <v/>
      </c>
      <c r="H375" s="23" t="str">
        <f aca="false">IF(G375="","",G375/100*INDEX(Alimentos!$E$5:$E$40,MATCH($D375,Alimentos!$B$5:$B$40,0)))</f>
        <v/>
      </c>
      <c r="I375" s="23" t="str">
        <f aca="false">IF(G375="","",G375/100*INDEX(Alimentos!$F$5:$F$40,MATCH($D375,Alimentos!$B$5:$B$40,0)))</f>
        <v/>
      </c>
      <c r="J375" s="23" t="str">
        <f aca="false">IF(G375="","",G375/100*INDEX(Alimentos!$G$5:$G$40,MATCH($D375,Alimentos!$B$5:$B$40,0)))</f>
        <v/>
      </c>
      <c r="K375" s="23" t="str">
        <f aca="false">IF(G375="","",G375/100*INDEX(Alimentos!$H$5:$H$40,MATCH($D375,Alimentos!$B$5:$B$40,0)))</f>
        <v/>
      </c>
      <c r="L375" s="24" t="str">
        <f aca="false">IF(OR(A375="",B375=""),"",Perfil!$C$13+(A375-1)*7+MATCH(B375,{"Lunes","Martes","Miércoles","Jueves","Viernes","Sábado","Domingo"},0)-1)</f>
        <v/>
      </c>
    </row>
    <row r="376" customFormat="false" ht="15" hidden="false" customHeight="false" outlineLevel="0" collapsed="false">
      <c r="G376" s="23" t="str">
        <f aca="false">IF(OR(D376="",E376=""),"",E376*IFERROR(VLOOKUP(F376,Perfil!$B$19:$C$24,2,0),1))</f>
        <v/>
      </c>
      <c r="H376" s="23" t="str">
        <f aca="false">IF(G376="","",G376/100*INDEX(Alimentos!$E$5:$E$40,MATCH($D376,Alimentos!$B$5:$B$40,0)))</f>
        <v/>
      </c>
      <c r="I376" s="23" t="str">
        <f aca="false">IF(G376="","",G376/100*INDEX(Alimentos!$F$5:$F$40,MATCH($D376,Alimentos!$B$5:$B$40,0)))</f>
        <v/>
      </c>
      <c r="J376" s="23" t="str">
        <f aca="false">IF(G376="","",G376/100*INDEX(Alimentos!$G$5:$G$40,MATCH($D376,Alimentos!$B$5:$B$40,0)))</f>
        <v/>
      </c>
      <c r="K376" s="23" t="str">
        <f aca="false">IF(G376="","",G376/100*INDEX(Alimentos!$H$5:$H$40,MATCH($D376,Alimentos!$B$5:$B$40,0)))</f>
        <v/>
      </c>
      <c r="L376" s="24" t="str">
        <f aca="false">IF(OR(A376="",B376=""),"",Perfil!$C$13+(A376-1)*7+MATCH(B376,{"Lunes","Martes","Miércoles","Jueves","Viernes","Sábado","Domingo"},0)-1)</f>
        <v/>
      </c>
    </row>
    <row r="377" customFormat="false" ht="15" hidden="false" customHeight="false" outlineLevel="0" collapsed="false">
      <c r="G377" s="23" t="str">
        <f aca="false">IF(OR(D377="",E377=""),"",E377*IFERROR(VLOOKUP(F377,Perfil!$B$19:$C$24,2,0),1))</f>
        <v/>
      </c>
      <c r="H377" s="23" t="str">
        <f aca="false">IF(G377="","",G377/100*INDEX(Alimentos!$E$5:$E$40,MATCH($D377,Alimentos!$B$5:$B$40,0)))</f>
        <v/>
      </c>
      <c r="I377" s="23" t="str">
        <f aca="false">IF(G377="","",G377/100*INDEX(Alimentos!$F$5:$F$40,MATCH($D377,Alimentos!$B$5:$B$40,0)))</f>
        <v/>
      </c>
      <c r="J377" s="23" t="str">
        <f aca="false">IF(G377="","",G377/100*INDEX(Alimentos!$G$5:$G$40,MATCH($D377,Alimentos!$B$5:$B$40,0)))</f>
        <v/>
      </c>
      <c r="K377" s="23" t="str">
        <f aca="false">IF(G377="","",G377/100*INDEX(Alimentos!$H$5:$H$40,MATCH($D377,Alimentos!$B$5:$B$40,0)))</f>
        <v/>
      </c>
      <c r="L377" s="24" t="str">
        <f aca="false">IF(OR(A377="",B377=""),"",Perfil!$C$13+(A377-1)*7+MATCH(B377,{"Lunes","Martes","Miércoles","Jueves","Viernes","Sábado","Domingo"},0)-1)</f>
        <v/>
      </c>
    </row>
    <row r="378" customFormat="false" ht="15" hidden="false" customHeight="false" outlineLevel="0" collapsed="false">
      <c r="G378" s="23" t="str">
        <f aca="false">IF(OR(D378="",E378=""),"",E378*IFERROR(VLOOKUP(F378,Perfil!$B$19:$C$24,2,0),1))</f>
        <v/>
      </c>
      <c r="H378" s="23" t="str">
        <f aca="false">IF(G378="","",G378/100*INDEX(Alimentos!$E$5:$E$40,MATCH($D378,Alimentos!$B$5:$B$40,0)))</f>
        <v/>
      </c>
      <c r="I378" s="23" t="str">
        <f aca="false">IF(G378="","",G378/100*INDEX(Alimentos!$F$5:$F$40,MATCH($D378,Alimentos!$B$5:$B$40,0)))</f>
        <v/>
      </c>
      <c r="J378" s="23" t="str">
        <f aca="false">IF(G378="","",G378/100*INDEX(Alimentos!$G$5:$G$40,MATCH($D378,Alimentos!$B$5:$B$40,0)))</f>
        <v/>
      </c>
      <c r="K378" s="23" t="str">
        <f aca="false">IF(G378="","",G378/100*INDEX(Alimentos!$H$5:$H$40,MATCH($D378,Alimentos!$B$5:$B$40,0)))</f>
        <v/>
      </c>
      <c r="L378" s="24" t="str">
        <f aca="false">IF(OR(A378="",B378=""),"",Perfil!$C$13+(A378-1)*7+MATCH(B378,{"Lunes","Martes","Miércoles","Jueves","Viernes","Sábado","Domingo"},0)-1)</f>
        <v/>
      </c>
    </row>
    <row r="379" customFormat="false" ht="15" hidden="false" customHeight="false" outlineLevel="0" collapsed="false">
      <c r="G379" s="23" t="str">
        <f aca="false">IF(OR(D379="",E379=""),"",E379*IFERROR(VLOOKUP(F379,Perfil!$B$19:$C$24,2,0),1))</f>
        <v/>
      </c>
      <c r="H379" s="23" t="str">
        <f aca="false">IF(G379="","",G379/100*INDEX(Alimentos!$E$5:$E$40,MATCH($D379,Alimentos!$B$5:$B$40,0)))</f>
        <v/>
      </c>
      <c r="I379" s="23" t="str">
        <f aca="false">IF(G379="","",G379/100*INDEX(Alimentos!$F$5:$F$40,MATCH($D379,Alimentos!$B$5:$B$40,0)))</f>
        <v/>
      </c>
      <c r="J379" s="23" t="str">
        <f aca="false">IF(G379="","",G379/100*INDEX(Alimentos!$G$5:$G$40,MATCH($D379,Alimentos!$B$5:$B$40,0)))</f>
        <v/>
      </c>
      <c r="K379" s="23" t="str">
        <f aca="false">IF(G379="","",G379/100*INDEX(Alimentos!$H$5:$H$40,MATCH($D379,Alimentos!$B$5:$B$40,0)))</f>
        <v/>
      </c>
      <c r="L379" s="24" t="str">
        <f aca="false">IF(OR(A379="",B379=""),"",Perfil!$C$13+(A379-1)*7+MATCH(B379,{"Lunes","Martes","Miércoles","Jueves","Viernes","Sábado","Domingo"},0)-1)</f>
        <v/>
      </c>
    </row>
    <row r="380" customFormat="false" ht="15" hidden="false" customHeight="false" outlineLevel="0" collapsed="false">
      <c r="G380" s="23" t="str">
        <f aca="false">IF(OR(D380="",E380=""),"",E380*IFERROR(VLOOKUP(F380,Perfil!$B$19:$C$24,2,0),1))</f>
        <v/>
      </c>
      <c r="H380" s="23" t="str">
        <f aca="false">IF(G380="","",G380/100*INDEX(Alimentos!$E$5:$E$40,MATCH($D380,Alimentos!$B$5:$B$40,0)))</f>
        <v/>
      </c>
      <c r="I380" s="23" t="str">
        <f aca="false">IF(G380="","",G380/100*INDEX(Alimentos!$F$5:$F$40,MATCH($D380,Alimentos!$B$5:$B$40,0)))</f>
        <v/>
      </c>
      <c r="J380" s="23" t="str">
        <f aca="false">IF(G380="","",G380/100*INDEX(Alimentos!$G$5:$G$40,MATCH($D380,Alimentos!$B$5:$B$40,0)))</f>
        <v/>
      </c>
      <c r="K380" s="23" t="str">
        <f aca="false">IF(G380="","",G380/100*INDEX(Alimentos!$H$5:$H$40,MATCH($D380,Alimentos!$B$5:$B$40,0)))</f>
        <v/>
      </c>
      <c r="L380" s="24" t="str">
        <f aca="false">IF(OR(A380="",B380=""),"",Perfil!$C$13+(A380-1)*7+MATCH(B380,{"Lunes","Martes","Miércoles","Jueves","Viernes","Sábado","Domingo"},0)-1)</f>
        <v/>
      </c>
    </row>
    <row r="381" customFormat="false" ht="15" hidden="false" customHeight="false" outlineLevel="0" collapsed="false">
      <c r="G381" s="23" t="str">
        <f aca="false">IF(OR(D381="",E381=""),"",E381*IFERROR(VLOOKUP(F381,Perfil!$B$19:$C$24,2,0),1))</f>
        <v/>
      </c>
      <c r="H381" s="23" t="str">
        <f aca="false">IF(G381="","",G381/100*INDEX(Alimentos!$E$5:$E$40,MATCH($D381,Alimentos!$B$5:$B$40,0)))</f>
        <v/>
      </c>
      <c r="I381" s="23" t="str">
        <f aca="false">IF(G381="","",G381/100*INDEX(Alimentos!$F$5:$F$40,MATCH($D381,Alimentos!$B$5:$B$40,0)))</f>
        <v/>
      </c>
      <c r="J381" s="23" t="str">
        <f aca="false">IF(G381="","",G381/100*INDEX(Alimentos!$G$5:$G$40,MATCH($D381,Alimentos!$B$5:$B$40,0)))</f>
        <v/>
      </c>
      <c r="K381" s="23" t="str">
        <f aca="false">IF(G381="","",G381/100*INDEX(Alimentos!$H$5:$H$40,MATCH($D381,Alimentos!$B$5:$B$40,0)))</f>
        <v/>
      </c>
      <c r="L381" s="24" t="str">
        <f aca="false">IF(OR(A381="",B381=""),"",Perfil!$C$13+(A381-1)*7+MATCH(B381,{"Lunes","Martes","Miércoles","Jueves","Viernes","Sábado","Domingo"},0)-1)</f>
        <v/>
      </c>
    </row>
    <row r="382" customFormat="false" ht="15" hidden="false" customHeight="false" outlineLevel="0" collapsed="false">
      <c r="G382" s="23" t="str">
        <f aca="false">IF(OR(D382="",E382=""),"",E382*IFERROR(VLOOKUP(F382,Perfil!$B$19:$C$24,2,0),1))</f>
        <v/>
      </c>
      <c r="H382" s="23" t="str">
        <f aca="false">IF(G382="","",G382/100*INDEX(Alimentos!$E$5:$E$40,MATCH($D382,Alimentos!$B$5:$B$40,0)))</f>
        <v/>
      </c>
      <c r="I382" s="23" t="str">
        <f aca="false">IF(G382="","",G382/100*INDEX(Alimentos!$F$5:$F$40,MATCH($D382,Alimentos!$B$5:$B$40,0)))</f>
        <v/>
      </c>
      <c r="J382" s="23" t="str">
        <f aca="false">IF(G382="","",G382/100*INDEX(Alimentos!$G$5:$G$40,MATCH($D382,Alimentos!$B$5:$B$40,0)))</f>
        <v/>
      </c>
      <c r="K382" s="23" t="str">
        <f aca="false">IF(G382="","",G382/100*INDEX(Alimentos!$H$5:$H$40,MATCH($D382,Alimentos!$B$5:$B$40,0)))</f>
        <v/>
      </c>
      <c r="L382" s="24" t="str">
        <f aca="false">IF(OR(A382="",B382=""),"",Perfil!$C$13+(A382-1)*7+MATCH(B382,{"Lunes","Martes","Miércoles","Jueves","Viernes","Sábado","Domingo"},0)-1)</f>
        <v/>
      </c>
    </row>
    <row r="383" customFormat="false" ht="15" hidden="false" customHeight="false" outlineLevel="0" collapsed="false">
      <c r="G383" s="23" t="str">
        <f aca="false">IF(OR(D383="",E383=""),"",E383*IFERROR(VLOOKUP(F383,Perfil!$B$19:$C$24,2,0),1))</f>
        <v/>
      </c>
      <c r="H383" s="23" t="str">
        <f aca="false">IF(G383="","",G383/100*INDEX(Alimentos!$E$5:$E$40,MATCH($D383,Alimentos!$B$5:$B$40,0)))</f>
        <v/>
      </c>
      <c r="I383" s="23" t="str">
        <f aca="false">IF(G383="","",G383/100*INDEX(Alimentos!$F$5:$F$40,MATCH($D383,Alimentos!$B$5:$B$40,0)))</f>
        <v/>
      </c>
      <c r="J383" s="23" t="str">
        <f aca="false">IF(G383="","",G383/100*INDEX(Alimentos!$G$5:$G$40,MATCH($D383,Alimentos!$B$5:$B$40,0)))</f>
        <v/>
      </c>
      <c r="K383" s="23" t="str">
        <f aca="false">IF(G383="","",G383/100*INDEX(Alimentos!$H$5:$H$40,MATCH($D383,Alimentos!$B$5:$B$40,0)))</f>
        <v/>
      </c>
      <c r="L383" s="24" t="str">
        <f aca="false">IF(OR(A383="",B383=""),"",Perfil!$C$13+(A383-1)*7+MATCH(B383,{"Lunes","Martes","Miércoles","Jueves","Viernes","Sábado","Domingo"},0)-1)</f>
        <v/>
      </c>
    </row>
    <row r="384" customFormat="false" ht="15" hidden="false" customHeight="false" outlineLevel="0" collapsed="false">
      <c r="G384" s="23" t="str">
        <f aca="false">IF(OR(D384="",E384=""),"",E384*IFERROR(VLOOKUP(F384,Perfil!$B$19:$C$24,2,0),1))</f>
        <v/>
      </c>
      <c r="H384" s="23" t="str">
        <f aca="false">IF(G384="","",G384/100*INDEX(Alimentos!$E$5:$E$40,MATCH($D384,Alimentos!$B$5:$B$40,0)))</f>
        <v/>
      </c>
      <c r="I384" s="23" t="str">
        <f aca="false">IF(G384="","",G384/100*INDEX(Alimentos!$F$5:$F$40,MATCH($D384,Alimentos!$B$5:$B$40,0)))</f>
        <v/>
      </c>
      <c r="J384" s="23" t="str">
        <f aca="false">IF(G384="","",G384/100*INDEX(Alimentos!$G$5:$G$40,MATCH($D384,Alimentos!$B$5:$B$40,0)))</f>
        <v/>
      </c>
      <c r="K384" s="23" t="str">
        <f aca="false">IF(G384="","",G384/100*INDEX(Alimentos!$H$5:$H$40,MATCH($D384,Alimentos!$B$5:$B$40,0)))</f>
        <v/>
      </c>
      <c r="L384" s="24" t="str">
        <f aca="false">IF(OR(A384="",B384=""),"",Perfil!$C$13+(A384-1)*7+MATCH(B384,{"Lunes","Martes","Miércoles","Jueves","Viernes","Sábado","Domingo"},0)-1)</f>
        <v/>
      </c>
    </row>
    <row r="385" customFormat="false" ht="15" hidden="false" customHeight="false" outlineLevel="0" collapsed="false">
      <c r="G385" s="23" t="str">
        <f aca="false">IF(OR(D385="",E385=""),"",E385*IFERROR(VLOOKUP(F385,Perfil!$B$19:$C$24,2,0),1))</f>
        <v/>
      </c>
      <c r="H385" s="23" t="str">
        <f aca="false">IF(G385="","",G385/100*INDEX(Alimentos!$E$5:$E$40,MATCH($D385,Alimentos!$B$5:$B$40,0)))</f>
        <v/>
      </c>
      <c r="I385" s="23" t="str">
        <f aca="false">IF(G385="","",G385/100*INDEX(Alimentos!$F$5:$F$40,MATCH($D385,Alimentos!$B$5:$B$40,0)))</f>
        <v/>
      </c>
      <c r="J385" s="23" t="str">
        <f aca="false">IF(G385="","",G385/100*INDEX(Alimentos!$G$5:$G$40,MATCH($D385,Alimentos!$B$5:$B$40,0)))</f>
        <v/>
      </c>
      <c r="K385" s="23" t="str">
        <f aca="false">IF(G385="","",G385/100*INDEX(Alimentos!$H$5:$H$40,MATCH($D385,Alimentos!$B$5:$B$40,0)))</f>
        <v/>
      </c>
      <c r="L385" s="24" t="str">
        <f aca="false">IF(OR(A385="",B385=""),"",Perfil!$C$13+(A385-1)*7+MATCH(B385,{"Lunes","Martes","Miércoles","Jueves","Viernes","Sábado","Domingo"},0)-1)</f>
        <v/>
      </c>
    </row>
    <row r="386" customFormat="false" ht="15" hidden="false" customHeight="false" outlineLevel="0" collapsed="false">
      <c r="G386" s="23" t="str">
        <f aca="false">IF(OR(D386="",E386=""),"",E386*IFERROR(VLOOKUP(F386,Perfil!$B$19:$C$24,2,0),1))</f>
        <v/>
      </c>
      <c r="H386" s="23" t="str">
        <f aca="false">IF(G386="","",G386/100*INDEX(Alimentos!$E$5:$E$40,MATCH($D386,Alimentos!$B$5:$B$40,0)))</f>
        <v/>
      </c>
      <c r="I386" s="23" t="str">
        <f aca="false">IF(G386="","",G386/100*INDEX(Alimentos!$F$5:$F$40,MATCH($D386,Alimentos!$B$5:$B$40,0)))</f>
        <v/>
      </c>
      <c r="J386" s="23" t="str">
        <f aca="false">IF(G386="","",G386/100*INDEX(Alimentos!$G$5:$G$40,MATCH($D386,Alimentos!$B$5:$B$40,0)))</f>
        <v/>
      </c>
      <c r="K386" s="23" t="str">
        <f aca="false">IF(G386="","",G386/100*INDEX(Alimentos!$H$5:$H$40,MATCH($D386,Alimentos!$B$5:$B$40,0)))</f>
        <v/>
      </c>
      <c r="L386" s="24" t="str">
        <f aca="false">IF(OR(A386="",B386=""),"",Perfil!$C$13+(A386-1)*7+MATCH(B386,{"Lunes","Martes","Miércoles","Jueves","Viernes","Sábado","Domingo"},0)-1)</f>
        <v/>
      </c>
    </row>
    <row r="387" customFormat="false" ht="15" hidden="false" customHeight="false" outlineLevel="0" collapsed="false">
      <c r="G387" s="23" t="str">
        <f aca="false">IF(OR(D387="",E387=""),"",E387*IFERROR(VLOOKUP(F387,Perfil!$B$19:$C$24,2,0),1))</f>
        <v/>
      </c>
      <c r="H387" s="23" t="str">
        <f aca="false">IF(G387="","",G387/100*INDEX(Alimentos!$E$5:$E$40,MATCH($D387,Alimentos!$B$5:$B$40,0)))</f>
        <v/>
      </c>
      <c r="I387" s="23" t="str">
        <f aca="false">IF(G387="","",G387/100*INDEX(Alimentos!$F$5:$F$40,MATCH($D387,Alimentos!$B$5:$B$40,0)))</f>
        <v/>
      </c>
      <c r="J387" s="23" t="str">
        <f aca="false">IF(G387="","",G387/100*INDEX(Alimentos!$G$5:$G$40,MATCH($D387,Alimentos!$B$5:$B$40,0)))</f>
        <v/>
      </c>
      <c r="K387" s="23" t="str">
        <f aca="false">IF(G387="","",G387/100*INDEX(Alimentos!$H$5:$H$40,MATCH($D387,Alimentos!$B$5:$B$40,0)))</f>
        <v/>
      </c>
      <c r="L387" s="24" t="str">
        <f aca="false">IF(OR(A387="",B387=""),"",Perfil!$C$13+(A387-1)*7+MATCH(B387,{"Lunes","Martes","Miércoles","Jueves","Viernes","Sábado","Domingo"},0)-1)</f>
        <v/>
      </c>
    </row>
    <row r="388" customFormat="false" ht="15" hidden="false" customHeight="false" outlineLevel="0" collapsed="false">
      <c r="G388" s="23" t="str">
        <f aca="false">IF(OR(D388="",E388=""),"",E388*IFERROR(VLOOKUP(F388,Perfil!$B$19:$C$24,2,0),1))</f>
        <v/>
      </c>
      <c r="H388" s="23" t="str">
        <f aca="false">IF(G388="","",G388/100*INDEX(Alimentos!$E$5:$E$40,MATCH($D388,Alimentos!$B$5:$B$40,0)))</f>
        <v/>
      </c>
      <c r="I388" s="23" t="str">
        <f aca="false">IF(G388="","",G388/100*INDEX(Alimentos!$F$5:$F$40,MATCH($D388,Alimentos!$B$5:$B$40,0)))</f>
        <v/>
      </c>
      <c r="J388" s="23" t="str">
        <f aca="false">IF(G388="","",G388/100*INDEX(Alimentos!$G$5:$G$40,MATCH($D388,Alimentos!$B$5:$B$40,0)))</f>
        <v/>
      </c>
      <c r="K388" s="23" t="str">
        <f aca="false">IF(G388="","",G388/100*INDEX(Alimentos!$H$5:$H$40,MATCH($D388,Alimentos!$B$5:$B$40,0)))</f>
        <v/>
      </c>
      <c r="L388" s="24" t="str">
        <f aca="false">IF(OR(A388="",B388=""),"",Perfil!$C$13+(A388-1)*7+MATCH(B388,{"Lunes","Martes","Miércoles","Jueves","Viernes","Sábado","Domingo"},0)-1)</f>
        <v/>
      </c>
    </row>
    <row r="389" customFormat="false" ht="15" hidden="false" customHeight="false" outlineLevel="0" collapsed="false">
      <c r="G389" s="23" t="str">
        <f aca="false">IF(OR(D389="",E389=""),"",E389*IFERROR(VLOOKUP(F389,Perfil!$B$19:$C$24,2,0),1))</f>
        <v/>
      </c>
      <c r="H389" s="23" t="str">
        <f aca="false">IF(G389="","",G389/100*INDEX(Alimentos!$E$5:$E$40,MATCH($D389,Alimentos!$B$5:$B$40,0)))</f>
        <v/>
      </c>
      <c r="I389" s="23" t="str">
        <f aca="false">IF(G389="","",G389/100*INDEX(Alimentos!$F$5:$F$40,MATCH($D389,Alimentos!$B$5:$B$40,0)))</f>
        <v/>
      </c>
      <c r="J389" s="23" t="str">
        <f aca="false">IF(G389="","",G389/100*INDEX(Alimentos!$G$5:$G$40,MATCH($D389,Alimentos!$B$5:$B$40,0)))</f>
        <v/>
      </c>
      <c r="K389" s="23" t="str">
        <f aca="false">IF(G389="","",G389/100*INDEX(Alimentos!$H$5:$H$40,MATCH($D389,Alimentos!$B$5:$B$40,0)))</f>
        <v/>
      </c>
      <c r="L389" s="24" t="str">
        <f aca="false">IF(OR(A389="",B389=""),"",Perfil!$C$13+(A389-1)*7+MATCH(B389,{"Lunes","Martes","Miércoles","Jueves","Viernes","Sábado","Domingo"},0)-1)</f>
        <v/>
      </c>
    </row>
    <row r="390" customFormat="false" ht="15" hidden="false" customHeight="false" outlineLevel="0" collapsed="false">
      <c r="G390" s="23" t="str">
        <f aca="false">IF(OR(D390="",E390=""),"",E390*IFERROR(VLOOKUP(F390,Perfil!$B$19:$C$24,2,0),1))</f>
        <v/>
      </c>
      <c r="H390" s="23" t="str">
        <f aca="false">IF(G390="","",G390/100*INDEX(Alimentos!$E$5:$E$40,MATCH($D390,Alimentos!$B$5:$B$40,0)))</f>
        <v/>
      </c>
      <c r="I390" s="23" t="str">
        <f aca="false">IF(G390="","",G390/100*INDEX(Alimentos!$F$5:$F$40,MATCH($D390,Alimentos!$B$5:$B$40,0)))</f>
        <v/>
      </c>
      <c r="J390" s="23" t="str">
        <f aca="false">IF(G390="","",G390/100*INDEX(Alimentos!$G$5:$G$40,MATCH($D390,Alimentos!$B$5:$B$40,0)))</f>
        <v/>
      </c>
      <c r="K390" s="23" t="str">
        <f aca="false">IF(G390="","",G390/100*INDEX(Alimentos!$H$5:$H$40,MATCH($D390,Alimentos!$B$5:$B$40,0)))</f>
        <v/>
      </c>
      <c r="L390" s="24" t="str">
        <f aca="false">IF(OR(A390="",B390=""),"",Perfil!$C$13+(A390-1)*7+MATCH(B390,{"Lunes","Martes","Miércoles","Jueves","Viernes","Sábado","Domingo"},0)-1)</f>
        <v/>
      </c>
    </row>
    <row r="391" customFormat="false" ht="15" hidden="false" customHeight="false" outlineLevel="0" collapsed="false">
      <c r="G391" s="23" t="str">
        <f aca="false">IF(OR(D391="",E391=""),"",E391*IFERROR(VLOOKUP(F391,Perfil!$B$19:$C$24,2,0),1))</f>
        <v/>
      </c>
      <c r="H391" s="23" t="str">
        <f aca="false">IF(G391="","",G391/100*INDEX(Alimentos!$E$5:$E$40,MATCH($D391,Alimentos!$B$5:$B$40,0)))</f>
        <v/>
      </c>
      <c r="I391" s="23" t="str">
        <f aca="false">IF(G391="","",G391/100*INDEX(Alimentos!$F$5:$F$40,MATCH($D391,Alimentos!$B$5:$B$40,0)))</f>
        <v/>
      </c>
      <c r="J391" s="23" t="str">
        <f aca="false">IF(G391="","",G391/100*INDEX(Alimentos!$G$5:$G$40,MATCH($D391,Alimentos!$B$5:$B$40,0)))</f>
        <v/>
      </c>
      <c r="K391" s="23" t="str">
        <f aca="false">IF(G391="","",G391/100*INDEX(Alimentos!$H$5:$H$40,MATCH($D391,Alimentos!$B$5:$B$40,0)))</f>
        <v/>
      </c>
      <c r="L391" s="24" t="str">
        <f aca="false">IF(OR(A391="",B391=""),"",Perfil!$C$13+(A391-1)*7+MATCH(B391,{"Lunes","Martes","Miércoles","Jueves","Viernes","Sábado","Domingo"},0)-1)</f>
        <v/>
      </c>
    </row>
    <row r="392" customFormat="false" ht="15" hidden="false" customHeight="false" outlineLevel="0" collapsed="false">
      <c r="G392" s="23" t="str">
        <f aca="false">IF(OR(D392="",E392=""),"",E392*IFERROR(VLOOKUP(F392,Perfil!$B$19:$C$24,2,0),1))</f>
        <v/>
      </c>
      <c r="H392" s="23" t="str">
        <f aca="false">IF(G392="","",G392/100*INDEX(Alimentos!$E$5:$E$40,MATCH($D392,Alimentos!$B$5:$B$40,0)))</f>
        <v/>
      </c>
      <c r="I392" s="23" t="str">
        <f aca="false">IF(G392="","",G392/100*INDEX(Alimentos!$F$5:$F$40,MATCH($D392,Alimentos!$B$5:$B$40,0)))</f>
        <v/>
      </c>
      <c r="J392" s="23" t="str">
        <f aca="false">IF(G392="","",G392/100*INDEX(Alimentos!$G$5:$G$40,MATCH($D392,Alimentos!$B$5:$B$40,0)))</f>
        <v/>
      </c>
      <c r="K392" s="23" t="str">
        <f aca="false">IF(G392="","",G392/100*INDEX(Alimentos!$H$5:$H$40,MATCH($D392,Alimentos!$B$5:$B$40,0)))</f>
        <v/>
      </c>
      <c r="L392" s="24" t="str">
        <f aca="false">IF(OR(A392="",B392=""),"",Perfil!$C$13+(A392-1)*7+MATCH(B392,{"Lunes","Martes","Miércoles","Jueves","Viernes","Sábado","Domingo"},0)-1)</f>
        <v/>
      </c>
    </row>
    <row r="393" customFormat="false" ht="15" hidden="false" customHeight="false" outlineLevel="0" collapsed="false">
      <c r="G393" s="23" t="str">
        <f aca="false">IF(OR(D393="",E393=""),"",E393*IFERROR(VLOOKUP(F393,Perfil!$B$19:$C$24,2,0),1))</f>
        <v/>
      </c>
      <c r="H393" s="23" t="str">
        <f aca="false">IF(G393="","",G393/100*INDEX(Alimentos!$E$5:$E$40,MATCH($D393,Alimentos!$B$5:$B$40,0)))</f>
        <v/>
      </c>
      <c r="I393" s="23" t="str">
        <f aca="false">IF(G393="","",G393/100*INDEX(Alimentos!$F$5:$F$40,MATCH($D393,Alimentos!$B$5:$B$40,0)))</f>
        <v/>
      </c>
      <c r="J393" s="23" t="str">
        <f aca="false">IF(G393="","",G393/100*INDEX(Alimentos!$G$5:$G$40,MATCH($D393,Alimentos!$B$5:$B$40,0)))</f>
        <v/>
      </c>
      <c r="K393" s="23" t="str">
        <f aca="false">IF(G393="","",G393/100*INDEX(Alimentos!$H$5:$H$40,MATCH($D393,Alimentos!$B$5:$B$40,0)))</f>
        <v/>
      </c>
      <c r="L393" s="24" t="str">
        <f aca="false">IF(OR(A393="",B393=""),"",Perfil!$C$13+(A393-1)*7+MATCH(B393,{"Lunes","Martes","Miércoles","Jueves","Viernes","Sábado","Domingo"},0)-1)</f>
        <v/>
      </c>
    </row>
    <row r="394" customFormat="false" ht="15" hidden="false" customHeight="false" outlineLevel="0" collapsed="false">
      <c r="G394" s="23" t="str">
        <f aca="false">IF(OR(D394="",E394=""),"",E394*IFERROR(VLOOKUP(F394,Perfil!$B$19:$C$24,2,0),1))</f>
        <v/>
      </c>
      <c r="H394" s="23" t="str">
        <f aca="false">IF(G394="","",G394/100*INDEX(Alimentos!$E$5:$E$40,MATCH($D394,Alimentos!$B$5:$B$40,0)))</f>
        <v/>
      </c>
      <c r="I394" s="23" t="str">
        <f aca="false">IF(G394="","",G394/100*INDEX(Alimentos!$F$5:$F$40,MATCH($D394,Alimentos!$B$5:$B$40,0)))</f>
        <v/>
      </c>
      <c r="J394" s="23" t="str">
        <f aca="false">IF(G394="","",G394/100*INDEX(Alimentos!$G$5:$G$40,MATCH($D394,Alimentos!$B$5:$B$40,0)))</f>
        <v/>
      </c>
      <c r="K394" s="23" t="str">
        <f aca="false">IF(G394="","",G394/100*INDEX(Alimentos!$H$5:$H$40,MATCH($D394,Alimentos!$B$5:$B$40,0)))</f>
        <v/>
      </c>
      <c r="L394" s="24" t="str">
        <f aca="false">IF(OR(A394="",B394=""),"",Perfil!$C$13+(A394-1)*7+MATCH(B394,{"Lunes","Martes","Miércoles","Jueves","Viernes","Sábado","Domingo"},0)-1)</f>
        <v/>
      </c>
    </row>
    <row r="395" customFormat="false" ht="15" hidden="false" customHeight="false" outlineLevel="0" collapsed="false">
      <c r="G395" s="23" t="str">
        <f aca="false">IF(OR(D395="",E395=""),"",E395*IFERROR(VLOOKUP(F395,Perfil!$B$19:$C$24,2,0),1))</f>
        <v/>
      </c>
      <c r="H395" s="23" t="str">
        <f aca="false">IF(G395="","",G395/100*INDEX(Alimentos!$E$5:$E$40,MATCH($D395,Alimentos!$B$5:$B$40,0)))</f>
        <v/>
      </c>
      <c r="I395" s="23" t="str">
        <f aca="false">IF(G395="","",G395/100*INDEX(Alimentos!$F$5:$F$40,MATCH($D395,Alimentos!$B$5:$B$40,0)))</f>
        <v/>
      </c>
      <c r="J395" s="23" t="str">
        <f aca="false">IF(G395="","",G395/100*INDEX(Alimentos!$G$5:$G$40,MATCH($D395,Alimentos!$B$5:$B$40,0)))</f>
        <v/>
      </c>
      <c r="K395" s="23" t="str">
        <f aca="false">IF(G395="","",G395/100*INDEX(Alimentos!$H$5:$H$40,MATCH($D395,Alimentos!$B$5:$B$40,0)))</f>
        <v/>
      </c>
      <c r="L395" s="24" t="str">
        <f aca="false">IF(OR(A395="",B395=""),"",Perfil!$C$13+(A395-1)*7+MATCH(B395,{"Lunes","Martes","Miércoles","Jueves","Viernes","Sábado","Domingo"},0)-1)</f>
        <v/>
      </c>
    </row>
    <row r="396" customFormat="false" ht="15" hidden="false" customHeight="false" outlineLevel="0" collapsed="false">
      <c r="G396" s="23" t="str">
        <f aca="false">IF(OR(D396="",E396=""),"",E396*IFERROR(VLOOKUP(F396,Perfil!$B$19:$C$24,2,0),1))</f>
        <v/>
      </c>
      <c r="H396" s="23" t="str">
        <f aca="false">IF(G396="","",G396/100*INDEX(Alimentos!$E$5:$E$40,MATCH($D396,Alimentos!$B$5:$B$40,0)))</f>
        <v/>
      </c>
      <c r="I396" s="23" t="str">
        <f aca="false">IF(G396="","",G396/100*INDEX(Alimentos!$F$5:$F$40,MATCH($D396,Alimentos!$B$5:$B$40,0)))</f>
        <v/>
      </c>
      <c r="J396" s="23" t="str">
        <f aca="false">IF(G396="","",G396/100*INDEX(Alimentos!$G$5:$G$40,MATCH($D396,Alimentos!$B$5:$B$40,0)))</f>
        <v/>
      </c>
      <c r="K396" s="23" t="str">
        <f aca="false">IF(G396="","",G396/100*INDEX(Alimentos!$H$5:$H$40,MATCH($D396,Alimentos!$B$5:$B$40,0)))</f>
        <v/>
      </c>
      <c r="L396" s="24" t="str">
        <f aca="false">IF(OR(A396="",B396=""),"",Perfil!$C$13+(A396-1)*7+MATCH(B396,{"Lunes","Martes","Miércoles","Jueves","Viernes","Sábado","Domingo"},0)-1)</f>
        <v/>
      </c>
    </row>
    <row r="397" customFormat="false" ht="15" hidden="false" customHeight="false" outlineLevel="0" collapsed="false">
      <c r="G397" s="23" t="str">
        <f aca="false">IF(OR(D397="",E397=""),"",E397*IFERROR(VLOOKUP(F397,Perfil!$B$19:$C$24,2,0),1))</f>
        <v/>
      </c>
      <c r="H397" s="23" t="str">
        <f aca="false">IF(G397="","",G397/100*INDEX(Alimentos!$E$5:$E$40,MATCH($D397,Alimentos!$B$5:$B$40,0)))</f>
        <v/>
      </c>
      <c r="I397" s="23" t="str">
        <f aca="false">IF(G397="","",G397/100*INDEX(Alimentos!$F$5:$F$40,MATCH($D397,Alimentos!$B$5:$B$40,0)))</f>
        <v/>
      </c>
      <c r="J397" s="23" t="str">
        <f aca="false">IF(G397="","",G397/100*INDEX(Alimentos!$G$5:$G$40,MATCH($D397,Alimentos!$B$5:$B$40,0)))</f>
        <v/>
      </c>
      <c r="K397" s="23" t="str">
        <f aca="false">IF(G397="","",G397/100*INDEX(Alimentos!$H$5:$H$40,MATCH($D397,Alimentos!$B$5:$B$40,0)))</f>
        <v/>
      </c>
      <c r="L397" s="24" t="str">
        <f aca="false">IF(OR(A397="",B397=""),"",Perfil!$C$13+(A397-1)*7+MATCH(B397,{"Lunes","Martes","Miércoles","Jueves","Viernes","Sábado","Domingo"},0)-1)</f>
        <v/>
      </c>
    </row>
    <row r="398" customFormat="false" ht="15" hidden="false" customHeight="false" outlineLevel="0" collapsed="false">
      <c r="G398" s="23" t="str">
        <f aca="false">IF(OR(D398="",E398=""),"",E398*IFERROR(VLOOKUP(F398,Perfil!$B$19:$C$24,2,0),1))</f>
        <v/>
      </c>
      <c r="H398" s="23" t="str">
        <f aca="false">IF(G398="","",G398/100*INDEX(Alimentos!$E$5:$E$40,MATCH($D398,Alimentos!$B$5:$B$40,0)))</f>
        <v/>
      </c>
      <c r="I398" s="23" t="str">
        <f aca="false">IF(G398="","",G398/100*INDEX(Alimentos!$F$5:$F$40,MATCH($D398,Alimentos!$B$5:$B$40,0)))</f>
        <v/>
      </c>
      <c r="J398" s="23" t="str">
        <f aca="false">IF(G398="","",G398/100*INDEX(Alimentos!$G$5:$G$40,MATCH($D398,Alimentos!$B$5:$B$40,0)))</f>
        <v/>
      </c>
      <c r="K398" s="23" t="str">
        <f aca="false">IF(G398="","",G398/100*INDEX(Alimentos!$H$5:$H$40,MATCH($D398,Alimentos!$B$5:$B$40,0)))</f>
        <v/>
      </c>
      <c r="L398" s="24" t="str">
        <f aca="false">IF(OR(A398="",B398=""),"",Perfil!$C$13+(A398-1)*7+MATCH(B398,{"Lunes","Martes","Miércoles","Jueves","Viernes","Sábado","Domingo"},0)-1)</f>
        <v/>
      </c>
    </row>
    <row r="399" customFormat="false" ht="15" hidden="false" customHeight="false" outlineLevel="0" collapsed="false">
      <c r="G399" s="23" t="str">
        <f aca="false">IF(OR(D399="",E399=""),"",E399*IFERROR(VLOOKUP(F399,Perfil!$B$19:$C$24,2,0),1))</f>
        <v/>
      </c>
      <c r="H399" s="23" t="str">
        <f aca="false">IF(G399="","",G399/100*INDEX(Alimentos!$E$5:$E$40,MATCH($D399,Alimentos!$B$5:$B$40,0)))</f>
        <v/>
      </c>
      <c r="I399" s="23" t="str">
        <f aca="false">IF(G399="","",G399/100*INDEX(Alimentos!$F$5:$F$40,MATCH($D399,Alimentos!$B$5:$B$40,0)))</f>
        <v/>
      </c>
      <c r="J399" s="23" t="str">
        <f aca="false">IF(G399="","",G399/100*INDEX(Alimentos!$G$5:$G$40,MATCH($D399,Alimentos!$B$5:$B$40,0)))</f>
        <v/>
      </c>
      <c r="K399" s="23" t="str">
        <f aca="false">IF(G399="","",G399/100*INDEX(Alimentos!$H$5:$H$40,MATCH($D399,Alimentos!$B$5:$B$40,0)))</f>
        <v/>
      </c>
      <c r="L399" s="24" t="str">
        <f aca="false">IF(OR(A399="",B399=""),"",Perfil!$C$13+(A399-1)*7+MATCH(B399,{"Lunes","Martes","Miércoles","Jueves","Viernes","Sábado","Domingo"},0)-1)</f>
        <v/>
      </c>
    </row>
    <row r="400" customFormat="false" ht="15" hidden="false" customHeight="false" outlineLevel="0" collapsed="false">
      <c r="G400" s="23" t="str">
        <f aca="false">IF(OR(D400="",E400=""),"",E400*IFERROR(VLOOKUP(F400,Perfil!$B$19:$C$24,2,0),1))</f>
        <v/>
      </c>
      <c r="H400" s="23" t="str">
        <f aca="false">IF(G400="","",G400/100*INDEX(Alimentos!$E$5:$E$40,MATCH($D400,Alimentos!$B$5:$B$40,0)))</f>
        <v/>
      </c>
      <c r="I400" s="23" t="str">
        <f aca="false">IF(G400="","",G400/100*INDEX(Alimentos!$F$5:$F$40,MATCH($D400,Alimentos!$B$5:$B$40,0)))</f>
        <v/>
      </c>
      <c r="J400" s="23" t="str">
        <f aca="false">IF(G400="","",G400/100*INDEX(Alimentos!$G$5:$G$40,MATCH($D400,Alimentos!$B$5:$B$40,0)))</f>
        <v/>
      </c>
      <c r="K400" s="23" t="str">
        <f aca="false">IF(G400="","",G400/100*INDEX(Alimentos!$H$5:$H$40,MATCH($D400,Alimentos!$B$5:$B$40,0)))</f>
        <v/>
      </c>
      <c r="L400" s="24" t="str">
        <f aca="false">IF(OR(A400="",B400=""),"",Perfil!$C$13+(A400-1)*7+MATCH(B400,{"Lunes","Martes","Miércoles","Jueves","Viernes","Sábado","Domingo"},0)-1)</f>
        <v/>
      </c>
    </row>
    <row r="401" customFormat="false" ht="15" hidden="false" customHeight="false" outlineLevel="0" collapsed="false">
      <c r="G401" s="23" t="str">
        <f aca="false">IF(OR(D401="",E401=""),"",E401*IFERROR(VLOOKUP(F401,Perfil!$B$19:$C$24,2,0),1))</f>
        <v/>
      </c>
      <c r="H401" s="23" t="str">
        <f aca="false">IF(G401="","",G401/100*INDEX(Alimentos!$E$5:$E$40,MATCH($D401,Alimentos!$B$5:$B$40,0)))</f>
        <v/>
      </c>
      <c r="I401" s="23" t="str">
        <f aca="false">IF(G401="","",G401/100*INDEX(Alimentos!$F$5:$F$40,MATCH($D401,Alimentos!$B$5:$B$40,0)))</f>
        <v/>
      </c>
      <c r="J401" s="23" t="str">
        <f aca="false">IF(G401="","",G401/100*INDEX(Alimentos!$G$5:$G$40,MATCH($D401,Alimentos!$B$5:$B$40,0)))</f>
        <v/>
      </c>
      <c r="K401" s="23" t="str">
        <f aca="false">IF(G401="","",G401/100*INDEX(Alimentos!$H$5:$H$40,MATCH($D401,Alimentos!$B$5:$B$40,0)))</f>
        <v/>
      </c>
      <c r="L401" s="24" t="str">
        <f aca="false">IF(OR(A401="",B401=""),"",Perfil!$C$13+(A401-1)*7+MATCH(B401,{"Lunes","Martes","Miércoles","Jueves","Viernes","Sábado","Domingo"},0)-1)</f>
        <v/>
      </c>
    </row>
    <row r="402" customFormat="false" ht="15" hidden="false" customHeight="false" outlineLevel="0" collapsed="false">
      <c r="G402" s="23" t="str">
        <f aca="false">IF(OR(D402="",E402=""),"",E402*IFERROR(VLOOKUP(F402,Perfil!$B$19:$C$24,2,0),1))</f>
        <v/>
      </c>
      <c r="H402" s="23" t="str">
        <f aca="false">IF(G402="","",G402/100*INDEX(Alimentos!$E$5:$E$40,MATCH($D402,Alimentos!$B$5:$B$40,0)))</f>
        <v/>
      </c>
      <c r="I402" s="23" t="str">
        <f aca="false">IF(G402="","",G402/100*INDEX(Alimentos!$F$5:$F$40,MATCH($D402,Alimentos!$B$5:$B$40,0)))</f>
        <v/>
      </c>
      <c r="J402" s="23" t="str">
        <f aca="false">IF(G402="","",G402/100*INDEX(Alimentos!$G$5:$G$40,MATCH($D402,Alimentos!$B$5:$B$40,0)))</f>
        <v/>
      </c>
      <c r="K402" s="23" t="str">
        <f aca="false">IF(G402="","",G402/100*INDEX(Alimentos!$H$5:$H$40,MATCH($D402,Alimentos!$B$5:$B$40,0)))</f>
        <v/>
      </c>
      <c r="L402" s="24" t="str">
        <f aca="false">IF(OR(A402="",B402=""),"",Perfil!$C$13+(A402-1)*7+MATCH(B402,{"Lunes","Martes","Miércoles","Jueves","Viernes","Sábado","Domingo"},0)-1)</f>
        <v/>
      </c>
    </row>
    <row r="403" customFormat="false" ht="15" hidden="false" customHeight="false" outlineLevel="0" collapsed="false">
      <c r="G403" s="23" t="str">
        <f aca="false">IF(OR(D403="",E403=""),"",E403*IFERROR(VLOOKUP(F403,Perfil!$B$19:$C$24,2,0),1))</f>
        <v/>
      </c>
      <c r="H403" s="23" t="str">
        <f aca="false">IF(G403="","",G403/100*INDEX(Alimentos!$E$5:$E$40,MATCH($D403,Alimentos!$B$5:$B$40,0)))</f>
        <v/>
      </c>
      <c r="I403" s="23" t="str">
        <f aca="false">IF(G403="","",G403/100*INDEX(Alimentos!$F$5:$F$40,MATCH($D403,Alimentos!$B$5:$B$40,0)))</f>
        <v/>
      </c>
      <c r="J403" s="23" t="str">
        <f aca="false">IF(G403="","",G403/100*INDEX(Alimentos!$G$5:$G$40,MATCH($D403,Alimentos!$B$5:$B$40,0)))</f>
        <v/>
      </c>
      <c r="K403" s="23" t="str">
        <f aca="false">IF(G403="","",G403/100*INDEX(Alimentos!$H$5:$H$40,MATCH($D403,Alimentos!$B$5:$B$40,0)))</f>
        <v/>
      </c>
      <c r="L403" s="24" t="str">
        <f aca="false">IF(OR(A403="",B403=""),"",Perfil!$C$13+(A403-1)*7+MATCH(B403,{"Lunes","Martes","Miércoles","Jueves","Viernes","Sábado","Domingo"},0)-1)</f>
        <v/>
      </c>
    </row>
    <row r="404" customFormat="false" ht="15" hidden="false" customHeight="false" outlineLevel="0" collapsed="false">
      <c r="G404" s="23" t="str">
        <f aca="false">IF(OR(D404="",E404=""),"",E404*IFERROR(VLOOKUP(F404,Perfil!$B$19:$C$24,2,0),1))</f>
        <v/>
      </c>
      <c r="H404" s="23" t="str">
        <f aca="false">IF(G404="","",G404/100*INDEX(Alimentos!$E$5:$E$40,MATCH($D404,Alimentos!$B$5:$B$40,0)))</f>
        <v/>
      </c>
      <c r="I404" s="23" t="str">
        <f aca="false">IF(G404="","",G404/100*INDEX(Alimentos!$F$5:$F$40,MATCH($D404,Alimentos!$B$5:$B$40,0)))</f>
        <v/>
      </c>
      <c r="J404" s="23" t="str">
        <f aca="false">IF(G404="","",G404/100*INDEX(Alimentos!$G$5:$G$40,MATCH($D404,Alimentos!$B$5:$B$40,0)))</f>
        <v/>
      </c>
      <c r="K404" s="23" t="str">
        <f aca="false">IF(G404="","",G404/100*INDEX(Alimentos!$H$5:$H$40,MATCH($D404,Alimentos!$B$5:$B$40,0)))</f>
        <v/>
      </c>
      <c r="L404" s="24" t="str">
        <f aca="false">IF(OR(A404="",B404=""),"",Perfil!$C$13+(A404-1)*7+MATCH(B404,{"Lunes","Martes","Miércoles","Jueves","Viernes","Sábado","Domingo"},0)-1)</f>
        <v/>
      </c>
    </row>
    <row r="405" customFormat="false" ht="15" hidden="false" customHeight="false" outlineLevel="0" collapsed="false">
      <c r="G405" s="23" t="str">
        <f aca="false">IF(OR(D405="",E405=""),"",E405*IFERROR(VLOOKUP(F405,Perfil!$B$19:$C$24,2,0),1))</f>
        <v/>
      </c>
      <c r="H405" s="23" t="str">
        <f aca="false">IF(G405="","",G405/100*INDEX(Alimentos!$E$5:$E$40,MATCH($D405,Alimentos!$B$5:$B$40,0)))</f>
        <v/>
      </c>
      <c r="I405" s="23" t="str">
        <f aca="false">IF(G405="","",G405/100*INDEX(Alimentos!$F$5:$F$40,MATCH($D405,Alimentos!$B$5:$B$40,0)))</f>
        <v/>
      </c>
      <c r="J405" s="23" t="str">
        <f aca="false">IF(G405="","",G405/100*INDEX(Alimentos!$G$5:$G$40,MATCH($D405,Alimentos!$B$5:$B$40,0)))</f>
        <v/>
      </c>
      <c r="K405" s="23" t="str">
        <f aca="false">IF(G405="","",G405/100*INDEX(Alimentos!$H$5:$H$40,MATCH($D405,Alimentos!$B$5:$B$40,0)))</f>
        <v/>
      </c>
      <c r="L405" s="24" t="str">
        <f aca="false">IF(OR(A405="",B405=""),"",Perfil!$C$13+(A405-1)*7+MATCH(B405,{"Lunes","Martes","Miércoles","Jueves","Viernes","Sábado","Domingo"},0)-1)</f>
        <v/>
      </c>
    </row>
    <row r="406" customFormat="false" ht="15" hidden="false" customHeight="false" outlineLevel="0" collapsed="false">
      <c r="G406" s="23" t="str">
        <f aca="false">IF(OR(D406="",E406=""),"",E406*IFERROR(VLOOKUP(F406,Perfil!$B$19:$C$24,2,0),1))</f>
        <v/>
      </c>
      <c r="H406" s="23" t="str">
        <f aca="false">IF(G406="","",G406/100*INDEX(Alimentos!$E$5:$E$40,MATCH($D406,Alimentos!$B$5:$B$40,0)))</f>
        <v/>
      </c>
      <c r="I406" s="23" t="str">
        <f aca="false">IF(G406="","",G406/100*INDEX(Alimentos!$F$5:$F$40,MATCH($D406,Alimentos!$B$5:$B$40,0)))</f>
        <v/>
      </c>
      <c r="J406" s="23" t="str">
        <f aca="false">IF(G406="","",G406/100*INDEX(Alimentos!$G$5:$G$40,MATCH($D406,Alimentos!$B$5:$B$40,0)))</f>
        <v/>
      </c>
      <c r="K406" s="23" t="str">
        <f aca="false">IF(G406="","",G406/100*INDEX(Alimentos!$H$5:$H$40,MATCH($D406,Alimentos!$B$5:$B$40,0)))</f>
        <v/>
      </c>
      <c r="L406" s="24" t="str">
        <f aca="false">IF(OR(A406="",B406=""),"",Perfil!$C$13+(A406-1)*7+MATCH(B406,{"Lunes","Martes","Miércoles","Jueves","Viernes","Sábado","Domingo"},0)-1)</f>
        <v/>
      </c>
    </row>
    <row r="407" customFormat="false" ht="15" hidden="false" customHeight="false" outlineLevel="0" collapsed="false">
      <c r="G407" s="23" t="str">
        <f aca="false">IF(OR(D407="",E407=""),"",E407*IFERROR(VLOOKUP(F407,Perfil!$B$19:$C$24,2,0),1))</f>
        <v/>
      </c>
      <c r="H407" s="23" t="str">
        <f aca="false">IF(G407="","",G407/100*INDEX(Alimentos!$E$5:$E$40,MATCH($D407,Alimentos!$B$5:$B$40,0)))</f>
        <v/>
      </c>
      <c r="I407" s="23" t="str">
        <f aca="false">IF(G407="","",G407/100*INDEX(Alimentos!$F$5:$F$40,MATCH($D407,Alimentos!$B$5:$B$40,0)))</f>
        <v/>
      </c>
      <c r="J407" s="23" t="str">
        <f aca="false">IF(G407="","",G407/100*INDEX(Alimentos!$G$5:$G$40,MATCH($D407,Alimentos!$B$5:$B$40,0)))</f>
        <v/>
      </c>
      <c r="K407" s="23" t="str">
        <f aca="false">IF(G407="","",G407/100*INDEX(Alimentos!$H$5:$H$40,MATCH($D407,Alimentos!$B$5:$B$40,0)))</f>
        <v/>
      </c>
      <c r="L407" s="24" t="str">
        <f aca="false">IF(OR(A407="",B407=""),"",Perfil!$C$13+(A407-1)*7+MATCH(B407,{"Lunes","Martes","Miércoles","Jueves","Viernes","Sábado","Domingo"},0)-1)</f>
        <v/>
      </c>
    </row>
    <row r="408" customFormat="false" ht="15" hidden="false" customHeight="false" outlineLevel="0" collapsed="false">
      <c r="G408" s="23" t="str">
        <f aca="false">IF(OR(D408="",E408=""),"",E408*IFERROR(VLOOKUP(F408,Perfil!$B$19:$C$24,2,0),1))</f>
        <v/>
      </c>
      <c r="H408" s="23" t="str">
        <f aca="false">IF(G408="","",G408/100*INDEX(Alimentos!$E$5:$E$40,MATCH($D408,Alimentos!$B$5:$B$40,0)))</f>
        <v/>
      </c>
      <c r="I408" s="23" t="str">
        <f aca="false">IF(G408="","",G408/100*INDEX(Alimentos!$F$5:$F$40,MATCH($D408,Alimentos!$B$5:$B$40,0)))</f>
        <v/>
      </c>
      <c r="J408" s="23" t="str">
        <f aca="false">IF(G408="","",G408/100*INDEX(Alimentos!$G$5:$G$40,MATCH($D408,Alimentos!$B$5:$B$40,0)))</f>
        <v/>
      </c>
      <c r="K408" s="23" t="str">
        <f aca="false">IF(G408="","",G408/100*INDEX(Alimentos!$H$5:$H$40,MATCH($D408,Alimentos!$B$5:$B$40,0)))</f>
        <v/>
      </c>
      <c r="L408" s="24" t="str">
        <f aca="false">IF(OR(A408="",B408=""),"",Perfil!$C$13+(A408-1)*7+MATCH(B408,{"Lunes","Martes","Miércoles","Jueves","Viernes","Sábado","Domingo"},0)-1)</f>
        <v/>
      </c>
    </row>
    <row r="409" customFormat="false" ht="15" hidden="false" customHeight="false" outlineLevel="0" collapsed="false">
      <c r="G409" s="23" t="str">
        <f aca="false">IF(OR(D409="",E409=""),"",E409*IFERROR(VLOOKUP(F409,Perfil!$B$19:$C$24,2,0),1))</f>
        <v/>
      </c>
      <c r="H409" s="23" t="str">
        <f aca="false">IF(G409="","",G409/100*INDEX(Alimentos!$E$5:$E$40,MATCH($D409,Alimentos!$B$5:$B$40,0)))</f>
        <v/>
      </c>
      <c r="I409" s="23" t="str">
        <f aca="false">IF(G409="","",G409/100*INDEX(Alimentos!$F$5:$F$40,MATCH($D409,Alimentos!$B$5:$B$40,0)))</f>
        <v/>
      </c>
      <c r="J409" s="23" t="str">
        <f aca="false">IF(G409="","",G409/100*INDEX(Alimentos!$G$5:$G$40,MATCH($D409,Alimentos!$B$5:$B$40,0)))</f>
        <v/>
      </c>
      <c r="K409" s="23" t="str">
        <f aca="false">IF(G409="","",G409/100*INDEX(Alimentos!$H$5:$H$40,MATCH($D409,Alimentos!$B$5:$B$40,0)))</f>
        <v/>
      </c>
      <c r="L409" s="24" t="str">
        <f aca="false">IF(OR(A409="",B409=""),"",Perfil!$C$13+(A409-1)*7+MATCH(B409,{"Lunes","Martes","Miércoles","Jueves","Viernes","Sábado","Domingo"},0)-1)</f>
        <v/>
      </c>
    </row>
    <row r="410" customFormat="false" ht="15" hidden="false" customHeight="false" outlineLevel="0" collapsed="false">
      <c r="G410" s="23" t="str">
        <f aca="false">IF(OR(D410="",E410=""),"",E410*IFERROR(VLOOKUP(F410,Perfil!$B$19:$C$24,2,0),1))</f>
        <v/>
      </c>
      <c r="H410" s="23" t="str">
        <f aca="false">IF(G410="","",G410/100*INDEX(Alimentos!$E$5:$E$40,MATCH($D410,Alimentos!$B$5:$B$40,0)))</f>
        <v/>
      </c>
      <c r="I410" s="23" t="str">
        <f aca="false">IF(G410="","",G410/100*INDEX(Alimentos!$F$5:$F$40,MATCH($D410,Alimentos!$B$5:$B$40,0)))</f>
        <v/>
      </c>
      <c r="J410" s="23" t="str">
        <f aca="false">IF(G410="","",G410/100*INDEX(Alimentos!$G$5:$G$40,MATCH($D410,Alimentos!$B$5:$B$40,0)))</f>
        <v/>
      </c>
      <c r="K410" s="23" t="str">
        <f aca="false">IF(G410="","",G410/100*INDEX(Alimentos!$H$5:$H$40,MATCH($D410,Alimentos!$B$5:$B$40,0)))</f>
        <v/>
      </c>
      <c r="L410" s="24" t="str">
        <f aca="false">IF(OR(A410="",B410=""),"",Perfil!$C$13+(A410-1)*7+MATCH(B410,{"Lunes","Martes","Miércoles","Jueves","Viernes","Sábado","Domingo"},0)-1)</f>
        <v/>
      </c>
    </row>
    <row r="411" customFormat="false" ht="15" hidden="false" customHeight="false" outlineLevel="0" collapsed="false">
      <c r="G411" s="23" t="str">
        <f aca="false">IF(OR(D411="",E411=""),"",E411*IFERROR(VLOOKUP(F411,Perfil!$B$19:$C$24,2,0),1))</f>
        <v/>
      </c>
      <c r="H411" s="23" t="str">
        <f aca="false">IF(G411="","",G411/100*INDEX(Alimentos!$E$5:$E$40,MATCH($D411,Alimentos!$B$5:$B$40,0)))</f>
        <v/>
      </c>
      <c r="I411" s="23" t="str">
        <f aca="false">IF(G411="","",G411/100*INDEX(Alimentos!$F$5:$F$40,MATCH($D411,Alimentos!$B$5:$B$40,0)))</f>
        <v/>
      </c>
      <c r="J411" s="23" t="str">
        <f aca="false">IF(G411="","",G411/100*INDEX(Alimentos!$G$5:$G$40,MATCH($D411,Alimentos!$B$5:$B$40,0)))</f>
        <v/>
      </c>
      <c r="K411" s="23" t="str">
        <f aca="false">IF(G411="","",G411/100*INDEX(Alimentos!$H$5:$H$40,MATCH($D411,Alimentos!$B$5:$B$40,0)))</f>
        <v/>
      </c>
      <c r="L411" s="24" t="str">
        <f aca="false">IF(OR(A411="",B411=""),"",Perfil!$C$13+(A411-1)*7+MATCH(B411,{"Lunes","Martes","Miércoles","Jueves","Viernes","Sábado","Domingo"},0)-1)</f>
        <v/>
      </c>
    </row>
    <row r="412" customFormat="false" ht="15" hidden="false" customHeight="false" outlineLevel="0" collapsed="false">
      <c r="G412" s="23" t="str">
        <f aca="false">IF(OR(D412="",E412=""),"",E412*IFERROR(VLOOKUP(F412,Perfil!$B$19:$C$24,2,0),1))</f>
        <v/>
      </c>
      <c r="H412" s="23" t="str">
        <f aca="false">IF(G412="","",G412/100*INDEX(Alimentos!$E$5:$E$40,MATCH($D412,Alimentos!$B$5:$B$40,0)))</f>
        <v/>
      </c>
      <c r="I412" s="23" t="str">
        <f aca="false">IF(G412="","",G412/100*INDEX(Alimentos!$F$5:$F$40,MATCH($D412,Alimentos!$B$5:$B$40,0)))</f>
        <v/>
      </c>
      <c r="J412" s="23" t="str">
        <f aca="false">IF(G412="","",G412/100*INDEX(Alimentos!$G$5:$G$40,MATCH($D412,Alimentos!$B$5:$B$40,0)))</f>
        <v/>
      </c>
      <c r="K412" s="23" t="str">
        <f aca="false">IF(G412="","",G412/100*INDEX(Alimentos!$H$5:$H$40,MATCH($D412,Alimentos!$B$5:$B$40,0)))</f>
        <v/>
      </c>
      <c r="L412" s="24" t="str">
        <f aca="false">IF(OR(A412="",B412=""),"",Perfil!$C$13+(A412-1)*7+MATCH(B412,{"Lunes","Martes","Miércoles","Jueves","Viernes","Sábado","Domingo"},0)-1)</f>
        <v/>
      </c>
    </row>
    <row r="413" customFormat="false" ht="15" hidden="false" customHeight="false" outlineLevel="0" collapsed="false">
      <c r="G413" s="23" t="str">
        <f aca="false">IF(OR(D413="",E413=""),"",E413*IFERROR(VLOOKUP(F413,Perfil!$B$19:$C$24,2,0),1))</f>
        <v/>
      </c>
      <c r="H413" s="23" t="str">
        <f aca="false">IF(G413="","",G413/100*INDEX(Alimentos!$E$5:$E$40,MATCH($D413,Alimentos!$B$5:$B$40,0)))</f>
        <v/>
      </c>
      <c r="I413" s="23" t="str">
        <f aca="false">IF(G413="","",G413/100*INDEX(Alimentos!$F$5:$F$40,MATCH($D413,Alimentos!$B$5:$B$40,0)))</f>
        <v/>
      </c>
      <c r="J413" s="23" t="str">
        <f aca="false">IF(G413="","",G413/100*INDEX(Alimentos!$G$5:$G$40,MATCH($D413,Alimentos!$B$5:$B$40,0)))</f>
        <v/>
      </c>
      <c r="K413" s="23" t="str">
        <f aca="false">IF(G413="","",G413/100*INDEX(Alimentos!$H$5:$H$40,MATCH($D413,Alimentos!$B$5:$B$40,0)))</f>
        <v/>
      </c>
      <c r="L413" s="24" t="str">
        <f aca="false">IF(OR(A413="",B413=""),"",Perfil!$C$13+(A413-1)*7+MATCH(B413,{"Lunes","Martes","Miércoles","Jueves","Viernes","Sábado","Domingo"},0)-1)</f>
        <v/>
      </c>
    </row>
    <row r="414" customFormat="false" ht="15" hidden="false" customHeight="false" outlineLevel="0" collapsed="false">
      <c r="G414" s="23" t="str">
        <f aca="false">IF(OR(D414="",E414=""),"",E414*IFERROR(VLOOKUP(F414,Perfil!$B$19:$C$24,2,0),1))</f>
        <v/>
      </c>
      <c r="H414" s="23" t="str">
        <f aca="false">IF(G414="","",G414/100*INDEX(Alimentos!$E$5:$E$40,MATCH($D414,Alimentos!$B$5:$B$40,0)))</f>
        <v/>
      </c>
      <c r="I414" s="23" t="str">
        <f aca="false">IF(G414="","",G414/100*INDEX(Alimentos!$F$5:$F$40,MATCH($D414,Alimentos!$B$5:$B$40,0)))</f>
        <v/>
      </c>
      <c r="J414" s="23" t="str">
        <f aca="false">IF(G414="","",G414/100*INDEX(Alimentos!$G$5:$G$40,MATCH($D414,Alimentos!$B$5:$B$40,0)))</f>
        <v/>
      </c>
      <c r="K414" s="23" t="str">
        <f aca="false">IF(G414="","",G414/100*INDEX(Alimentos!$H$5:$H$40,MATCH($D414,Alimentos!$B$5:$B$40,0)))</f>
        <v/>
      </c>
      <c r="L414" s="24" t="str">
        <f aca="false">IF(OR(A414="",B414=""),"",Perfil!$C$13+(A414-1)*7+MATCH(B414,{"Lunes","Martes","Miércoles","Jueves","Viernes","Sábado","Domingo"},0)-1)</f>
        <v/>
      </c>
    </row>
    <row r="415" customFormat="false" ht="15" hidden="false" customHeight="false" outlineLevel="0" collapsed="false">
      <c r="G415" s="23" t="str">
        <f aca="false">IF(OR(D415="",E415=""),"",E415*IFERROR(VLOOKUP(F415,Perfil!$B$19:$C$24,2,0),1))</f>
        <v/>
      </c>
      <c r="H415" s="23" t="str">
        <f aca="false">IF(G415="","",G415/100*INDEX(Alimentos!$E$5:$E$40,MATCH($D415,Alimentos!$B$5:$B$40,0)))</f>
        <v/>
      </c>
      <c r="I415" s="23" t="str">
        <f aca="false">IF(G415="","",G415/100*INDEX(Alimentos!$F$5:$F$40,MATCH($D415,Alimentos!$B$5:$B$40,0)))</f>
        <v/>
      </c>
      <c r="J415" s="23" t="str">
        <f aca="false">IF(G415="","",G415/100*INDEX(Alimentos!$G$5:$G$40,MATCH($D415,Alimentos!$B$5:$B$40,0)))</f>
        <v/>
      </c>
      <c r="K415" s="23" t="str">
        <f aca="false">IF(G415="","",G415/100*INDEX(Alimentos!$H$5:$H$40,MATCH($D415,Alimentos!$B$5:$B$40,0)))</f>
        <v/>
      </c>
      <c r="L415" s="24" t="str">
        <f aca="false">IF(OR(A415="",B415=""),"",Perfil!$C$13+(A415-1)*7+MATCH(B415,{"Lunes","Martes","Miércoles","Jueves","Viernes","Sábado","Domingo"},0)-1)</f>
        <v/>
      </c>
    </row>
    <row r="416" customFormat="false" ht="15" hidden="false" customHeight="false" outlineLevel="0" collapsed="false">
      <c r="G416" s="23" t="str">
        <f aca="false">IF(OR(D416="",E416=""),"",E416*IFERROR(VLOOKUP(F416,Perfil!$B$19:$C$24,2,0),1))</f>
        <v/>
      </c>
      <c r="H416" s="23" t="str">
        <f aca="false">IF(G416="","",G416/100*INDEX(Alimentos!$E$5:$E$40,MATCH($D416,Alimentos!$B$5:$B$40,0)))</f>
        <v/>
      </c>
      <c r="I416" s="23" t="str">
        <f aca="false">IF(G416="","",G416/100*INDEX(Alimentos!$F$5:$F$40,MATCH($D416,Alimentos!$B$5:$B$40,0)))</f>
        <v/>
      </c>
      <c r="J416" s="23" t="str">
        <f aca="false">IF(G416="","",G416/100*INDEX(Alimentos!$G$5:$G$40,MATCH($D416,Alimentos!$B$5:$B$40,0)))</f>
        <v/>
      </c>
      <c r="K416" s="23" t="str">
        <f aca="false">IF(G416="","",G416/100*INDEX(Alimentos!$H$5:$H$40,MATCH($D416,Alimentos!$B$5:$B$40,0)))</f>
        <v/>
      </c>
      <c r="L416" s="24" t="str">
        <f aca="false">IF(OR(A416="",B416=""),"",Perfil!$C$13+(A416-1)*7+MATCH(B416,{"Lunes","Martes","Miércoles","Jueves","Viernes","Sábado","Domingo"},0)-1)</f>
        <v/>
      </c>
    </row>
    <row r="417" customFormat="false" ht="15" hidden="false" customHeight="false" outlineLevel="0" collapsed="false">
      <c r="G417" s="23" t="str">
        <f aca="false">IF(OR(D417="",E417=""),"",E417*IFERROR(VLOOKUP(F417,Perfil!$B$19:$C$24,2,0),1))</f>
        <v/>
      </c>
      <c r="H417" s="23" t="str">
        <f aca="false">IF(G417="","",G417/100*INDEX(Alimentos!$E$5:$E$40,MATCH($D417,Alimentos!$B$5:$B$40,0)))</f>
        <v/>
      </c>
      <c r="I417" s="23" t="str">
        <f aca="false">IF(G417="","",G417/100*INDEX(Alimentos!$F$5:$F$40,MATCH($D417,Alimentos!$B$5:$B$40,0)))</f>
        <v/>
      </c>
      <c r="J417" s="23" t="str">
        <f aca="false">IF(G417="","",G417/100*INDEX(Alimentos!$G$5:$G$40,MATCH($D417,Alimentos!$B$5:$B$40,0)))</f>
        <v/>
      </c>
      <c r="K417" s="23" t="str">
        <f aca="false">IF(G417="","",G417/100*INDEX(Alimentos!$H$5:$H$40,MATCH($D417,Alimentos!$B$5:$B$40,0)))</f>
        <v/>
      </c>
      <c r="L417" s="24" t="str">
        <f aca="false">IF(OR(A417="",B417=""),"",Perfil!$C$13+(A417-1)*7+MATCH(B417,{"Lunes","Martes","Miércoles","Jueves","Viernes","Sábado","Domingo"},0)-1)</f>
        <v/>
      </c>
    </row>
    <row r="418" customFormat="false" ht="15" hidden="false" customHeight="false" outlineLevel="0" collapsed="false">
      <c r="G418" s="23" t="str">
        <f aca="false">IF(OR(D418="",E418=""),"",E418*IFERROR(VLOOKUP(F418,Perfil!$B$19:$C$24,2,0),1))</f>
        <v/>
      </c>
      <c r="H418" s="23" t="str">
        <f aca="false">IF(G418="","",G418/100*INDEX(Alimentos!$E$5:$E$40,MATCH($D418,Alimentos!$B$5:$B$40,0)))</f>
        <v/>
      </c>
      <c r="I418" s="23" t="str">
        <f aca="false">IF(G418="","",G418/100*INDEX(Alimentos!$F$5:$F$40,MATCH($D418,Alimentos!$B$5:$B$40,0)))</f>
        <v/>
      </c>
      <c r="J418" s="23" t="str">
        <f aca="false">IF(G418="","",G418/100*INDEX(Alimentos!$G$5:$G$40,MATCH($D418,Alimentos!$B$5:$B$40,0)))</f>
        <v/>
      </c>
      <c r="K418" s="23" t="str">
        <f aca="false">IF(G418="","",G418/100*INDEX(Alimentos!$H$5:$H$40,MATCH($D418,Alimentos!$B$5:$B$40,0)))</f>
        <v/>
      </c>
      <c r="L418" s="24" t="str">
        <f aca="false">IF(OR(A418="",B418=""),"",Perfil!$C$13+(A418-1)*7+MATCH(B418,{"Lunes","Martes","Miércoles","Jueves","Viernes","Sábado","Domingo"},0)-1)</f>
        <v/>
      </c>
    </row>
    <row r="419" customFormat="false" ht="15" hidden="false" customHeight="false" outlineLevel="0" collapsed="false">
      <c r="G419" s="23" t="str">
        <f aca="false">IF(OR(D419="",E419=""),"",E419*IFERROR(VLOOKUP(F419,Perfil!$B$19:$C$24,2,0),1))</f>
        <v/>
      </c>
      <c r="H419" s="23" t="str">
        <f aca="false">IF(G419="","",G419/100*INDEX(Alimentos!$E$5:$E$40,MATCH($D419,Alimentos!$B$5:$B$40,0)))</f>
        <v/>
      </c>
      <c r="I419" s="23" t="str">
        <f aca="false">IF(G419="","",G419/100*INDEX(Alimentos!$F$5:$F$40,MATCH($D419,Alimentos!$B$5:$B$40,0)))</f>
        <v/>
      </c>
      <c r="J419" s="23" t="str">
        <f aca="false">IF(G419="","",G419/100*INDEX(Alimentos!$G$5:$G$40,MATCH($D419,Alimentos!$B$5:$B$40,0)))</f>
        <v/>
      </c>
      <c r="K419" s="23" t="str">
        <f aca="false">IF(G419="","",G419/100*INDEX(Alimentos!$H$5:$H$40,MATCH($D419,Alimentos!$B$5:$B$40,0)))</f>
        <v/>
      </c>
      <c r="L419" s="24" t="str">
        <f aca="false">IF(OR(A419="",B419=""),"",Perfil!$C$13+(A419-1)*7+MATCH(B419,{"Lunes","Martes","Miércoles","Jueves","Viernes","Sábado","Domingo"},0)-1)</f>
        <v/>
      </c>
    </row>
    <row r="420" customFormat="false" ht="15" hidden="false" customHeight="false" outlineLevel="0" collapsed="false">
      <c r="G420" s="23" t="str">
        <f aca="false">IF(OR(D420="",E420=""),"",E420*IFERROR(VLOOKUP(F420,Perfil!$B$19:$C$24,2,0),1))</f>
        <v/>
      </c>
      <c r="H420" s="23" t="str">
        <f aca="false">IF(G420="","",G420/100*INDEX(Alimentos!$E$5:$E$40,MATCH($D420,Alimentos!$B$5:$B$40,0)))</f>
        <v/>
      </c>
      <c r="I420" s="23" t="str">
        <f aca="false">IF(G420="","",G420/100*INDEX(Alimentos!$F$5:$F$40,MATCH($D420,Alimentos!$B$5:$B$40,0)))</f>
        <v/>
      </c>
      <c r="J420" s="23" t="str">
        <f aca="false">IF(G420="","",G420/100*INDEX(Alimentos!$G$5:$G$40,MATCH($D420,Alimentos!$B$5:$B$40,0)))</f>
        <v/>
      </c>
      <c r="K420" s="23" t="str">
        <f aca="false">IF(G420="","",G420/100*INDEX(Alimentos!$H$5:$H$40,MATCH($D420,Alimentos!$B$5:$B$40,0)))</f>
        <v/>
      </c>
      <c r="L420" s="24" t="str">
        <f aca="false">IF(OR(A420="",B420=""),"",Perfil!$C$13+(A420-1)*7+MATCH(B420,{"Lunes","Martes","Miércoles","Jueves","Viernes","Sábado","Domingo"},0)-1)</f>
        <v/>
      </c>
    </row>
    <row r="421" customFormat="false" ht="15" hidden="false" customHeight="false" outlineLevel="0" collapsed="false">
      <c r="G421" s="23" t="str">
        <f aca="false">IF(OR(D421="",E421=""),"",E421*IFERROR(VLOOKUP(F421,Perfil!$B$19:$C$24,2,0),1))</f>
        <v/>
      </c>
      <c r="H421" s="23" t="str">
        <f aca="false">IF(G421="","",G421/100*INDEX(Alimentos!$E$5:$E$40,MATCH($D421,Alimentos!$B$5:$B$40,0)))</f>
        <v/>
      </c>
      <c r="I421" s="23" t="str">
        <f aca="false">IF(G421="","",G421/100*INDEX(Alimentos!$F$5:$F$40,MATCH($D421,Alimentos!$B$5:$B$40,0)))</f>
        <v/>
      </c>
      <c r="J421" s="23" t="str">
        <f aca="false">IF(G421="","",G421/100*INDEX(Alimentos!$G$5:$G$40,MATCH($D421,Alimentos!$B$5:$B$40,0)))</f>
        <v/>
      </c>
      <c r="K421" s="23" t="str">
        <f aca="false">IF(G421="","",G421/100*INDEX(Alimentos!$H$5:$H$40,MATCH($D421,Alimentos!$B$5:$B$40,0)))</f>
        <v/>
      </c>
      <c r="L421" s="24" t="str">
        <f aca="false">IF(OR(A421="",B421=""),"",Perfil!$C$13+(A421-1)*7+MATCH(B421,{"Lunes","Martes","Miércoles","Jueves","Viernes","Sábado","Domingo"},0)-1)</f>
        <v/>
      </c>
    </row>
    <row r="422" customFormat="false" ht="15" hidden="false" customHeight="false" outlineLevel="0" collapsed="false">
      <c r="G422" s="23" t="str">
        <f aca="false">IF(OR(D422="",E422=""),"",E422*IFERROR(VLOOKUP(F422,Perfil!$B$19:$C$24,2,0),1))</f>
        <v/>
      </c>
      <c r="H422" s="23" t="str">
        <f aca="false">IF(G422="","",G422/100*INDEX(Alimentos!$E$5:$E$40,MATCH($D422,Alimentos!$B$5:$B$40,0)))</f>
        <v/>
      </c>
      <c r="I422" s="23" t="str">
        <f aca="false">IF(G422="","",G422/100*INDEX(Alimentos!$F$5:$F$40,MATCH($D422,Alimentos!$B$5:$B$40,0)))</f>
        <v/>
      </c>
      <c r="J422" s="23" t="str">
        <f aca="false">IF(G422="","",G422/100*INDEX(Alimentos!$G$5:$G$40,MATCH($D422,Alimentos!$B$5:$B$40,0)))</f>
        <v/>
      </c>
      <c r="K422" s="23" t="str">
        <f aca="false">IF(G422="","",G422/100*INDEX(Alimentos!$H$5:$H$40,MATCH($D422,Alimentos!$B$5:$B$40,0)))</f>
        <v/>
      </c>
      <c r="L422" s="24" t="str">
        <f aca="false">IF(OR(A422="",B422=""),"",Perfil!$C$13+(A422-1)*7+MATCH(B422,{"Lunes","Martes","Miércoles","Jueves","Viernes","Sábado","Domingo"},0)-1)</f>
        <v/>
      </c>
    </row>
    <row r="423" customFormat="false" ht="15" hidden="false" customHeight="false" outlineLevel="0" collapsed="false">
      <c r="G423" s="23" t="str">
        <f aca="false">IF(OR(D423="",E423=""),"",E423*IFERROR(VLOOKUP(F423,Perfil!$B$19:$C$24,2,0),1))</f>
        <v/>
      </c>
      <c r="H423" s="23" t="str">
        <f aca="false">IF(G423="","",G423/100*INDEX(Alimentos!$E$5:$E$40,MATCH($D423,Alimentos!$B$5:$B$40,0)))</f>
        <v/>
      </c>
      <c r="I423" s="23" t="str">
        <f aca="false">IF(G423="","",G423/100*INDEX(Alimentos!$F$5:$F$40,MATCH($D423,Alimentos!$B$5:$B$40,0)))</f>
        <v/>
      </c>
      <c r="J423" s="23" t="str">
        <f aca="false">IF(G423="","",G423/100*INDEX(Alimentos!$G$5:$G$40,MATCH($D423,Alimentos!$B$5:$B$40,0)))</f>
        <v/>
      </c>
      <c r="K423" s="23" t="str">
        <f aca="false">IF(G423="","",G423/100*INDEX(Alimentos!$H$5:$H$40,MATCH($D423,Alimentos!$B$5:$B$40,0)))</f>
        <v/>
      </c>
      <c r="L423" s="24" t="str">
        <f aca="false">IF(OR(A423="",B423=""),"",Perfil!$C$13+(A423-1)*7+MATCH(B423,{"Lunes","Martes","Miércoles","Jueves","Viernes","Sábado","Domingo"},0)-1)</f>
        <v/>
      </c>
    </row>
    <row r="424" customFormat="false" ht="15" hidden="false" customHeight="false" outlineLevel="0" collapsed="false">
      <c r="G424" s="23" t="str">
        <f aca="false">IF(OR(D424="",E424=""),"",E424*IFERROR(VLOOKUP(F424,Perfil!$B$19:$C$24,2,0),1))</f>
        <v/>
      </c>
      <c r="H424" s="23" t="str">
        <f aca="false">IF(G424="","",G424/100*INDEX(Alimentos!$E$5:$E$40,MATCH($D424,Alimentos!$B$5:$B$40,0)))</f>
        <v/>
      </c>
      <c r="I424" s="23" t="str">
        <f aca="false">IF(G424="","",G424/100*INDEX(Alimentos!$F$5:$F$40,MATCH($D424,Alimentos!$B$5:$B$40,0)))</f>
        <v/>
      </c>
      <c r="J424" s="23" t="str">
        <f aca="false">IF(G424="","",G424/100*INDEX(Alimentos!$G$5:$G$40,MATCH($D424,Alimentos!$B$5:$B$40,0)))</f>
        <v/>
      </c>
      <c r="K424" s="23" t="str">
        <f aca="false">IF(G424="","",G424/100*INDEX(Alimentos!$H$5:$H$40,MATCH($D424,Alimentos!$B$5:$B$40,0)))</f>
        <v/>
      </c>
      <c r="L424" s="24" t="str">
        <f aca="false">IF(OR(A424="",B424=""),"",Perfil!$C$13+(A424-1)*7+MATCH(B424,{"Lunes","Martes","Miércoles","Jueves","Viernes","Sábado","Domingo"},0)-1)</f>
        <v/>
      </c>
    </row>
    <row r="425" customFormat="false" ht="15" hidden="false" customHeight="false" outlineLevel="0" collapsed="false">
      <c r="G425" s="23" t="str">
        <f aca="false">IF(OR(D425="",E425=""),"",E425*IFERROR(VLOOKUP(F425,Perfil!$B$19:$C$24,2,0),1))</f>
        <v/>
      </c>
      <c r="H425" s="23" t="str">
        <f aca="false">IF(G425="","",G425/100*INDEX(Alimentos!$E$5:$E$40,MATCH($D425,Alimentos!$B$5:$B$40,0)))</f>
        <v/>
      </c>
      <c r="I425" s="23" t="str">
        <f aca="false">IF(G425="","",G425/100*INDEX(Alimentos!$F$5:$F$40,MATCH($D425,Alimentos!$B$5:$B$40,0)))</f>
        <v/>
      </c>
      <c r="J425" s="23" t="str">
        <f aca="false">IF(G425="","",G425/100*INDEX(Alimentos!$G$5:$G$40,MATCH($D425,Alimentos!$B$5:$B$40,0)))</f>
        <v/>
      </c>
      <c r="K425" s="23" t="str">
        <f aca="false">IF(G425="","",G425/100*INDEX(Alimentos!$H$5:$H$40,MATCH($D425,Alimentos!$B$5:$B$40,0)))</f>
        <v/>
      </c>
      <c r="L425" s="24" t="str">
        <f aca="false">IF(OR(A425="",B425=""),"",Perfil!$C$13+(A425-1)*7+MATCH(B425,{"Lunes","Martes","Miércoles","Jueves","Viernes","Sábado","Domingo"},0)-1)</f>
        <v/>
      </c>
    </row>
    <row r="426" customFormat="false" ht="15" hidden="false" customHeight="false" outlineLevel="0" collapsed="false">
      <c r="G426" s="23" t="str">
        <f aca="false">IF(OR(D426="",E426=""),"",E426*IFERROR(VLOOKUP(F426,Perfil!$B$19:$C$24,2,0),1))</f>
        <v/>
      </c>
      <c r="H426" s="23" t="str">
        <f aca="false">IF(G426="","",G426/100*INDEX(Alimentos!$E$5:$E$40,MATCH($D426,Alimentos!$B$5:$B$40,0)))</f>
        <v/>
      </c>
      <c r="I426" s="23" t="str">
        <f aca="false">IF(G426="","",G426/100*INDEX(Alimentos!$F$5:$F$40,MATCH($D426,Alimentos!$B$5:$B$40,0)))</f>
        <v/>
      </c>
      <c r="J426" s="23" t="str">
        <f aca="false">IF(G426="","",G426/100*INDEX(Alimentos!$G$5:$G$40,MATCH($D426,Alimentos!$B$5:$B$40,0)))</f>
        <v/>
      </c>
      <c r="K426" s="23" t="str">
        <f aca="false">IF(G426="","",G426/100*INDEX(Alimentos!$H$5:$H$40,MATCH($D426,Alimentos!$B$5:$B$40,0)))</f>
        <v/>
      </c>
      <c r="L426" s="24" t="str">
        <f aca="false">IF(OR(A426="",B426=""),"",Perfil!$C$13+(A426-1)*7+MATCH(B426,{"Lunes","Martes","Miércoles","Jueves","Viernes","Sábado","Domingo"},0)-1)</f>
        <v/>
      </c>
    </row>
    <row r="427" customFormat="false" ht="15" hidden="false" customHeight="false" outlineLevel="0" collapsed="false">
      <c r="G427" s="23" t="str">
        <f aca="false">IF(OR(D427="",E427=""),"",E427*IFERROR(VLOOKUP(F427,Perfil!$B$19:$C$24,2,0),1))</f>
        <v/>
      </c>
      <c r="H427" s="23" t="str">
        <f aca="false">IF(G427="","",G427/100*INDEX(Alimentos!$E$5:$E$40,MATCH($D427,Alimentos!$B$5:$B$40,0)))</f>
        <v/>
      </c>
      <c r="I427" s="23" t="str">
        <f aca="false">IF(G427="","",G427/100*INDEX(Alimentos!$F$5:$F$40,MATCH($D427,Alimentos!$B$5:$B$40,0)))</f>
        <v/>
      </c>
      <c r="J427" s="23" t="str">
        <f aca="false">IF(G427="","",G427/100*INDEX(Alimentos!$G$5:$G$40,MATCH($D427,Alimentos!$B$5:$B$40,0)))</f>
        <v/>
      </c>
      <c r="K427" s="23" t="str">
        <f aca="false">IF(G427="","",G427/100*INDEX(Alimentos!$H$5:$H$40,MATCH($D427,Alimentos!$B$5:$B$40,0)))</f>
        <v/>
      </c>
      <c r="L427" s="24" t="str">
        <f aca="false">IF(OR(A427="",B427=""),"",Perfil!$C$13+(A427-1)*7+MATCH(B427,{"Lunes","Martes","Miércoles","Jueves","Viernes","Sábado","Domingo"},0)-1)</f>
        <v/>
      </c>
    </row>
    <row r="428" customFormat="false" ht="15" hidden="false" customHeight="false" outlineLevel="0" collapsed="false">
      <c r="G428" s="23" t="str">
        <f aca="false">IF(OR(D428="",E428=""),"",E428*IFERROR(VLOOKUP(F428,Perfil!$B$19:$C$24,2,0),1))</f>
        <v/>
      </c>
      <c r="H428" s="23" t="str">
        <f aca="false">IF(G428="","",G428/100*INDEX(Alimentos!$E$5:$E$40,MATCH($D428,Alimentos!$B$5:$B$40,0)))</f>
        <v/>
      </c>
      <c r="I428" s="23" t="str">
        <f aca="false">IF(G428="","",G428/100*INDEX(Alimentos!$F$5:$F$40,MATCH($D428,Alimentos!$B$5:$B$40,0)))</f>
        <v/>
      </c>
      <c r="J428" s="23" t="str">
        <f aca="false">IF(G428="","",G428/100*INDEX(Alimentos!$G$5:$G$40,MATCH($D428,Alimentos!$B$5:$B$40,0)))</f>
        <v/>
      </c>
      <c r="K428" s="23" t="str">
        <f aca="false">IF(G428="","",G428/100*INDEX(Alimentos!$H$5:$H$40,MATCH($D428,Alimentos!$B$5:$B$40,0)))</f>
        <v/>
      </c>
      <c r="L428" s="24" t="str">
        <f aca="false">IF(OR(A428="",B428=""),"",Perfil!$C$13+(A428-1)*7+MATCH(B428,{"Lunes","Martes","Miércoles","Jueves","Viernes","Sábado","Domingo"},0)-1)</f>
        <v/>
      </c>
    </row>
    <row r="429" customFormat="false" ht="15" hidden="false" customHeight="false" outlineLevel="0" collapsed="false">
      <c r="G429" s="23" t="str">
        <f aca="false">IF(OR(D429="",E429=""),"",E429*IFERROR(VLOOKUP(F429,Perfil!$B$19:$C$24,2,0),1))</f>
        <v/>
      </c>
      <c r="H429" s="23" t="str">
        <f aca="false">IF(G429="","",G429/100*INDEX(Alimentos!$E$5:$E$40,MATCH($D429,Alimentos!$B$5:$B$40,0)))</f>
        <v/>
      </c>
      <c r="I429" s="23" t="str">
        <f aca="false">IF(G429="","",G429/100*INDEX(Alimentos!$F$5:$F$40,MATCH($D429,Alimentos!$B$5:$B$40,0)))</f>
        <v/>
      </c>
      <c r="J429" s="23" t="str">
        <f aca="false">IF(G429="","",G429/100*INDEX(Alimentos!$G$5:$G$40,MATCH($D429,Alimentos!$B$5:$B$40,0)))</f>
        <v/>
      </c>
      <c r="K429" s="23" t="str">
        <f aca="false">IF(G429="","",G429/100*INDEX(Alimentos!$H$5:$H$40,MATCH($D429,Alimentos!$B$5:$B$40,0)))</f>
        <v/>
      </c>
      <c r="L429" s="24" t="str">
        <f aca="false">IF(OR(A429="",B429=""),"",Perfil!$C$13+(A429-1)*7+MATCH(B429,{"Lunes","Martes","Miércoles","Jueves","Viernes","Sábado","Domingo"},0)-1)</f>
        <v/>
      </c>
    </row>
    <row r="430" customFormat="false" ht="15" hidden="false" customHeight="false" outlineLevel="0" collapsed="false">
      <c r="G430" s="23" t="str">
        <f aca="false">IF(OR(D430="",E430=""),"",E430*IFERROR(VLOOKUP(F430,Perfil!$B$19:$C$24,2,0),1))</f>
        <v/>
      </c>
      <c r="H430" s="23" t="str">
        <f aca="false">IF(G430="","",G430/100*INDEX(Alimentos!$E$5:$E$40,MATCH($D430,Alimentos!$B$5:$B$40,0)))</f>
        <v/>
      </c>
      <c r="I430" s="23" t="str">
        <f aca="false">IF(G430="","",G430/100*INDEX(Alimentos!$F$5:$F$40,MATCH($D430,Alimentos!$B$5:$B$40,0)))</f>
        <v/>
      </c>
      <c r="J430" s="23" t="str">
        <f aca="false">IF(G430="","",G430/100*INDEX(Alimentos!$G$5:$G$40,MATCH($D430,Alimentos!$B$5:$B$40,0)))</f>
        <v/>
      </c>
      <c r="K430" s="23" t="str">
        <f aca="false">IF(G430="","",G430/100*INDEX(Alimentos!$H$5:$H$40,MATCH($D430,Alimentos!$B$5:$B$40,0)))</f>
        <v/>
      </c>
      <c r="L430" s="24" t="str">
        <f aca="false">IF(OR(A430="",B430=""),"",Perfil!$C$13+(A430-1)*7+MATCH(B430,{"Lunes","Martes","Miércoles","Jueves","Viernes","Sábado","Domingo"},0)-1)</f>
        <v/>
      </c>
    </row>
    <row r="431" customFormat="false" ht="15" hidden="false" customHeight="false" outlineLevel="0" collapsed="false">
      <c r="G431" s="23" t="str">
        <f aca="false">IF(OR(D431="",E431=""),"",E431*IFERROR(VLOOKUP(F431,Perfil!$B$19:$C$24,2,0),1))</f>
        <v/>
      </c>
      <c r="H431" s="23" t="str">
        <f aca="false">IF(G431="","",G431/100*INDEX(Alimentos!$E$5:$E$40,MATCH($D431,Alimentos!$B$5:$B$40,0)))</f>
        <v/>
      </c>
      <c r="I431" s="23" t="str">
        <f aca="false">IF(G431="","",G431/100*INDEX(Alimentos!$F$5:$F$40,MATCH($D431,Alimentos!$B$5:$B$40,0)))</f>
        <v/>
      </c>
      <c r="J431" s="23" t="str">
        <f aca="false">IF(G431="","",G431/100*INDEX(Alimentos!$G$5:$G$40,MATCH($D431,Alimentos!$B$5:$B$40,0)))</f>
        <v/>
      </c>
      <c r="K431" s="23" t="str">
        <f aca="false">IF(G431="","",G431/100*INDEX(Alimentos!$H$5:$H$40,MATCH($D431,Alimentos!$B$5:$B$40,0)))</f>
        <v/>
      </c>
      <c r="L431" s="24" t="str">
        <f aca="false">IF(OR(A431="",B431=""),"",Perfil!$C$13+(A431-1)*7+MATCH(B431,{"Lunes","Martes","Miércoles","Jueves","Viernes","Sábado","Domingo"},0)-1)</f>
        <v/>
      </c>
    </row>
    <row r="432" customFormat="false" ht="15" hidden="false" customHeight="false" outlineLevel="0" collapsed="false">
      <c r="G432" s="23" t="str">
        <f aca="false">IF(OR(D432="",E432=""),"",E432*IFERROR(VLOOKUP(F432,Perfil!$B$19:$C$24,2,0),1))</f>
        <v/>
      </c>
      <c r="H432" s="23" t="str">
        <f aca="false">IF(G432="","",G432/100*INDEX(Alimentos!$E$5:$E$40,MATCH($D432,Alimentos!$B$5:$B$40,0)))</f>
        <v/>
      </c>
      <c r="I432" s="23" t="str">
        <f aca="false">IF(G432="","",G432/100*INDEX(Alimentos!$F$5:$F$40,MATCH($D432,Alimentos!$B$5:$B$40,0)))</f>
        <v/>
      </c>
      <c r="J432" s="23" t="str">
        <f aca="false">IF(G432="","",G432/100*INDEX(Alimentos!$G$5:$G$40,MATCH($D432,Alimentos!$B$5:$B$40,0)))</f>
        <v/>
      </c>
      <c r="K432" s="23" t="str">
        <f aca="false">IF(G432="","",G432/100*INDEX(Alimentos!$H$5:$H$40,MATCH($D432,Alimentos!$B$5:$B$40,0)))</f>
        <v/>
      </c>
      <c r="L432" s="24" t="str">
        <f aca="false">IF(OR(A432="",B432=""),"",Perfil!$C$13+(A432-1)*7+MATCH(B432,{"Lunes","Martes","Miércoles","Jueves","Viernes","Sábado","Domingo"},0)-1)</f>
        <v/>
      </c>
    </row>
    <row r="433" customFormat="false" ht="15" hidden="false" customHeight="false" outlineLevel="0" collapsed="false">
      <c r="G433" s="23" t="str">
        <f aca="false">IF(OR(D433="",E433=""),"",E433*IFERROR(VLOOKUP(F433,Perfil!$B$19:$C$24,2,0),1))</f>
        <v/>
      </c>
      <c r="H433" s="23" t="str">
        <f aca="false">IF(G433="","",G433/100*INDEX(Alimentos!$E$5:$E$40,MATCH($D433,Alimentos!$B$5:$B$40,0)))</f>
        <v/>
      </c>
      <c r="I433" s="23" t="str">
        <f aca="false">IF(G433="","",G433/100*INDEX(Alimentos!$F$5:$F$40,MATCH($D433,Alimentos!$B$5:$B$40,0)))</f>
        <v/>
      </c>
      <c r="J433" s="23" t="str">
        <f aca="false">IF(G433="","",G433/100*INDEX(Alimentos!$G$5:$G$40,MATCH($D433,Alimentos!$B$5:$B$40,0)))</f>
        <v/>
      </c>
      <c r="K433" s="23" t="str">
        <f aca="false">IF(G433="","",G433/100*INDEX(Alimentos!$H$5:$H$40,MATCH($D433,Alimentos!$B$5:$B$40,0)))</f>
        <v/>
      </c>
      <c r="L433" s="24" t="str">
        <f aca="false">IF(OR(A433="",B433=""),"",Perfil!$C$13+(A433-1)*7+MATCH(B433,{"Lunes","Martes","Miércoles","Jueves","Viernes","Sábado","Domingo"},0)-1)</f>
        <v/>
      </c>
    </row>
    <row r="434" customFormat="false" ht="15" hidden="false" customHeight="false" outlineLevel="0" collapsed="false">
      <c r="G434" s="23" t="str">
        <f aca="false">IF(OR(D434="",E434=""),"",E434*IFERROR(VLOOKUP(F434,Perfil!$B$19:$C$24,2,0),1))</f>
        <v/>
      </c>
      <c r="H434" s="23" t="str">
        <f aca="false">IF(G434="","",G434/100*INDEX(Alimentos!$E$5:$E$40,MATCH($D434,Alimentos!$B$5:$B$40,0)))</f>
        <v/>
      </c>
      <c r="I434" s="23" t="str">
        <f aca="false">IF(G434="","",G434/100*INDEX(Alimentos!$F$5:$F$40,MATCH($D434,Alimentos!$B$5:$B$40,0)))</f>
        <v/>
      </c>
      <c r="J434" s="23" t="str">
        <f aca="false">IF(G434="","",G434/100*INDEX(Alimentos!$G$5:$G$40,MATCH($D434,Alimentos!$B$5:$B$40,0)))</f>
        <v/>
      </c>
      <c r="K434" s="23" t="str">
        <f aca="false">IF(G434="","",G434/100*INDEX(Alimentos!$H$5:$H$40,MATCH($D434,Alimentos!$B$5:$B$40,0)))</f>
        <v/>
      </c>
      <c r="L434" s="24" t="str">
        <f aca="false">IF(OR(A434="",B434=""),"",Perfil!$C$13+(A434-1)*7+MATCH(B434,{"Lunes","Martes","Miércoles","Jueves","Viernes","Sábado","Domingo"},0)-1)</f>
        <v/>
      </c>
    </row>
    <row r="435" customFormat="false" ht="15" hidden="false" customHeight="false" outlineLevel="0" collapsed="false">
      <c r="G435" s="23" t="str">
        <f aca="false">IF(OR(D435="",E435=""),"",E435*IFERROR(VLOOKUP(F435,Perfil!$B$19:$C$24,2,0),1))</f>
        <v/>
      </c>
      <c r="H435" s="23" t="str">
        <f aca="false">IF(G435="","",G435/100*INDEX(Alimentos!$E$5:$E$40,MATCH($D435,Alimentos!$B$5:$B$40,0)))</f>
        <v/>
      </c>
      <c r="I435" s="23" t="str">
        <f aca="false">IF(G435="","",G435/100*INDEX(Alimentos!$F$5:$F$40,MATCH($D435,Alimentos!$B$5:$B$40,0)))</f>
        <v/>
      </c>
      <c r="J435" s="23" t="str">
        <f aca="false">IF(G435="","",G435/100*INDEX(Alimentos!$G$5:$G$40,MATCH($D435,Alimentos!$B$5:$B$40,0)))</f>
        <v/>
      </c>
      <c r="K435" s="23" t="str">
        <f aca="false">IF(G435="","",G435/100*INDEX(Alimentos!$H$5:$H$40,MATCH($D435,Alimentos!$B$5:$B$40,0)))</f>
        <v/>
      </c>
      <c r="L435" s="24" t="str">
        <f aca="false">IF(OR(A435="",B435=""),"",Perfil!$C$13+(A435-1)*7+MATCH(B435,{"Lunes","Martes","Miércoles","Jueves","Viernes","Sábado","Domingo"},0)-1)</f>
        <v/>
      </c>
    </row>
    <row r="436" customFormat="false" ht="15" hidden="false" customHeight="false" outlineLevel="0" collapsed="false">
      <c r="G436" s="23" t="str">
        <f aca="false">IF(OR(D436="",E436=""),"",E436*IFERROR(VLOOKUP(F436,Perfil!$B$19:$C$24,2,0),1))</f>
        <v/>
      </c>
      <c r="H436" s="23" t="str">
        <f aca="false">IF(G436="","",G436/100*INDEX(Alimentos!$E$5:$E$40,MATCH($D436,Alimentos!$B$5:$B$40,0)))</f>
        <v/>
      </c>
      <c r="I436" s="23" t="str">
        <f aca="false">IF(G436="","",G436/100*INDEX(Alimentos!$F$5:$F$40,MATCH($D436,Alimentos!$B$5:$B$40,0)))</f>
        <v/>
      </c>
      <c r="J436" s="23" t="str">
        <f aca="false">IF(G436="","",G436/100*INDEX(Alimentos!$G$5:$G$40,MATCH($D436,Alimentos!$B$5:$B$40,0)))</f>
        <v/>
      </c>
      <c r="K436" s="23" t="str">
        <f aca="false">IF(G436="","",G436/100*INDEX(Alimentos!$H$5:$H$40,MATCH($D436,Alimentos!$B$5:$B$40,0)))</f>
        <v/>
      </c>
      <c r="L436" s="24" t="str">
        <f aca="false">IF(OR(A436="",B436=""),"",Perfil!$C$13+(A436-1)*7+MATCH(B436,{"Lunes","Martes","Miércoles","Jueves","Viernes","Sábado","Domingo"},0)-1)</f>
        <v/>
      </c>
    </row>
    <row r="437" customFormat="false" ht="15" hidden="false" customHeight="false" outlineLevel="0" collapsed="false">
      <c r="G437" s="23" t="str">
        <f aca="false">IF(OR(D437="",E437=""),"",E437*IFERROR(VLOOKUP(F437,Perfil!$B$19:$C$24,2,0),1))</f>
        <v/>
      </c>
      <c r="H437" s="23" t="str">
        <f aca="false">IF(G437="","",G437/100*INDEX(Alimentos!$E$5:$E$40,MATCH($D437,Alimentos!$B$5:$B$40,0)))</f>
        <v/>
      </c>
      <c r="I437" s="23" t="str">
        <f aca="false">IF(G437="","",G437/100*INDEX(Alimentos!$F$5:$F$40,MATCH($D437,Alimentos!$B$5:$B$40,0)))</f>
        <v/>
      </c>
      <c r="J437" s="23" t="str">
        <f aca="false">IF(G437="","",G437/100*INDEX(Alimentos!$G$5:$G$40,MATCH($D437,Alimentos!$B$5:$B$40,0)))</f>
        <v/>
      </c>
      <c r="K437" s="23" t="str">
        <f aca="false">IF(G437="","",G437/100*INDEX(Alimentos!$H$5:$H$40,MATCH($D437,Alimentos!$B$5:$B$40,0)))</f>
        <v/>
      </c>
      <c r="L437" s="24" t="str">
        <f aca="false">IF(OR(A437="",B437=""),"",Perfil!$C$13+(A437-1)*7+MATCH(B437,{"Lunes","Martes","Miércoles","Jueves","Viernes","Sábado","Domingo"},0)-1)</f>
        <v/>
      </c>
    </row>
    <row r="438" customFormat="false" ht="15" hidden="false" customHeight="false" outlineLevel="0" collapsed="false">
      <c r="G438" s="23" t="str">
        <f aca="false">IF(OR(D438="",E438=""),"",E438*IFERROR(VLOOKUP(F438,Perfil!$B$19:$C$24,2,0),1))</f>
        <v/>
      </c>
      <c r="H438" s="23" t="str">
        <f aca="false">IF(G438="","",G438/100*INDEX(Alimentos!$E$5:$E$40,MATCH($D438,Alimentos!$B$5:$B$40,0)))</f>
        <v/>
      </c>
      <c r="I438" s="23" t="str">
        <f aca="false">IF(G438="","",G438/100*INDEX(Alimentos!$F$5:$F$40,MATCH($D438,Alimentos!$B$5:$B$40,0)))</f>
        <v/>
      </c>
      <c r="J438" s="23" t="str">
        <f aca="false">IF(G438="","",G438/100*INDEX(Alimentos!$G$5:$G$40,MATCH($D438,Alimentos!$B$5:$B$40,0)))</f>
        <v/>
      </c>
      <c r="K438" s="23" t="str">
        <f aca="false">IF(G438="","",G438/100*INDEX(Alimentos!$H$5:$H$40,MATCH($D438,Alimentos!$B$5:$B$40,0)))</f>
        <v/>
      </c>
      <c r="L438" s="24" t="str">
        <f aca="false">IF(OR(A438="",B438=""),"",Perfil!$C$13+(A438-1)*7+MATCH(B438,{"Lunes","Martes","Miércoles","Jueves","Viernes","Sábado","Domingo"},0)-1)</f>
        <v/>
      </c>
    </row>
    <row r="439" customFormat="false" ht="15" hidden="false" customHeight="false" outlineLevel="0" collapsed="false">
      <c r="G439" s="23" t="str">
        <f aca="false">IF(OR(D439="",E439=""),"",E439*IFERROR(VLOOKUP(F439,Perfil!$B$19:$C$24,2,0),1))</f>
        <v/>
      </c>
      <c r="H439" s="23" t="str">
        <f aca="false">IF(G439="","",G439/100*INDEX(Alimentos!$E$5:$E$40,MATCH($D439,Alimentos!$B$5:$B$40,0)))</f>
        <v/>
      </c>
      <c r="I439" s="23" t="str">
        <f aca="false">IF(G439="","",G439/100*INDEX(Alimentos!$F$5:$F$40,MATCH($D439,Alimentos!$B$5:$B$40,0)))</f>
        <v/>
      </c>
      <c r="J439" s="23" t="str">
        <f aca="false">IF(G439="","",G439/100*INDEX(Alimentos!$G$5:$G$40,MATCH($D439,Alimentos!$B$5:$B$40,0)))</f>
        <v/>
      </c>
      <c r="K439" s="23" t="str">
        <f aca="false">IF(G439="","",G439/100*INDEX(Alimentos!$H$5:$H$40,MATCH($D439,Alimentos!$B$5:$B$40,0)))</f>
        <v/>
      </c>
      <c r="L439" s="24" t="str">
        <f aca="false">IF(OR(A439="",B439=""),"",Perfil!$C$13+(A439-1)*7+MATCH(B439,{"Lunes","Martes","Miércoles","Jueves","Viernes","Sábado","Domingo"},0)-1)</f>
        <v/>
      </c>
    </row>
    <row r="440" customFormat="false" ht="15" hidden="false" customHeight="false" outlineLevel="0" collapsed="false">
      <c r="G440" s="23" t="str">
        <f aca="false">IF(OR(D440="",E440=""),"",E440*IFERROR(VLOOKUP(F440,Perfil!$B$19:$C$24,2,0),1))</f>
        <v/>
      </c>
      <c r="H440" s="23" t="str">
        <f aca="false">IF(G440="","",G440/100*INDEX(Alimentos!$E$5:$E$40,MATCH($D440,Alimentos!$B$5:$B$40,0)))</f>
        <v/>
      </c>
      <c r="I440" s="23" t="str">
        <f aca="false">IF(G440="","",G440/100*INDEX(Alimentos!$F$5:$F$40,MATCH($D440,Alimentos!$B$5:$B$40,0)))</f>
        <v/>
      </c>
      <c r="J440" s="23" t="str">
        <f aca="false">IF(G440="","",G440/100*INDEX(Alimentos!$G$5:$G$40,MATCH($D440,Alimentos!$B$5:$B$40,0)))</f>
        <v/>
      </c>
      <c r="K440" s="23" t="str">
        <f aca="false">IF(G440="","",G440/100*INDEX(Alimentos!$H$5:$H$40,MATCH($D440,Alimentos!$B$5:$B$40,0)))</f>
        <v/>
      </c>
      <c r="L440" s="24" t="str">
        <f aca="false">IF(OR(A440="",B440=""),"",Perfil!$C$13+(A440-1)*7+MATCH(B440,{"Lunes","Martes","Miércoles","Jueves","Viernes","Sábado","Domingo"},0)-1)</f>
        <v/>
      </c>
    </row>
    <row r="441" customFormat="false" ht="15" hidden="false" customHeight="false" outlineLevel="0" collapsed="false">
      <c r="G441" s="23" t="str">
        <f aca="false">IF(OR(D441="",E441=""),"",E441*IFERROR(VLOOKUP(F441,Perfil!$B$19:$C$24,2,0),1))</f>
        <v/>
      </c>
      <c r="H441" s="23" t="str">
        <f aca="false">IF(G441="","",G441/100*INDEX(Alimentos!$E$5:$E$40,MATCH($D441,Alimentos!$B$5:$B$40,0)))</f>
        <v/>
      </c>
      <c r="I441" s="23" t="str">
        <f aca="false">IF(G441="","",G441/100*INDEX(Alimentos!$F$5:$F$40,MATCH($D441,Alimentos!$B$5:$B$40,0)))</f>
        <v/>
      </c>
      <c r="J441" s="23" t="str">
        <f aca="false">IF(G441="","",G441/100*INDEX(Alimentos!$G$5:$G$40,MATCH($D441,Alimentos!$B$5:$B$40,0)))</f>
        <v/>
      </c>
      <c r="K441" s="23" t="str">
        <f aca="false">IF(G441="","",G441/100*INDEX(Alimentos!$H$5:$H$40,MATCH($D441,Alimentos!$B$5:$B$40,0)))</f>
        <v/>
      </c>
      <c r="L441" s="24" t="str">
        <f aca="false">IF(OR(A441="",B441=""),"",Perfil!$C$13+(A441-1)*7+MATCH(B441,{"Lunes","Martes","Miércoles","Jueves","Viernes","Sábado","Domingo"},0)-1)</f>
        <v/>
      </c>
    </row>
    <row r="442" customFormat="false" ht="15" hidden="false" customHeight="false" outlineLevel="0" collapsed="false">
      <c r="G442" s="23" t="str">
        <f aca="false">IF(OR(D442="",E442=""),"",E442*IFERROR(VLOOKUP(F442,Perfil!$B$19:$C$24,2,0),1))</f>
        <v/>
      </c>
      <c r="H442" s="23" t="str">
        <f aca="false">IF(G442="","",G442/100*INDEX(Alimentos!$E$5:$E$40,MATCH($D442,Alimentos!$B$5:$B$40,0)))</f>
        <v/>
      </c>
      <c r="I442" s="23" t="str">
        <f aca="false">IF(G442="","",G442/100*INDEX(Alimentos!$F$5:$F$40,MATCH($D442,Alimentos!$B$5:$B$40,0)))</f>
        <v/>
      </c>
      <c r="J442" s="23" t="str">
        <f aca="false">IF(G442="","",G442/100*INDEX(Alimentos!$G$5:$G$40,MATCH($D442,Alimentos!$B$5:$B$40,0)))</f>
        <v/>
      </c>
      <c r="K442" s="23" t="str">
        <f aca="false">IF(G442="","",G442/100*INDEX(Alimentos!$H$5:$H$40,MATCH($D442,Alimentos!$B$5:$B$40,0)))</f>
        <v/>
      </c>
      <c r="L442" s="24" t="str">
        <f aca="false">IF(OR(A442="",B442=""),"",Perfil!$C$13+(A442-1)*7+MATCH(B442,{"Lunes","Martes","Miércoles","Jueves","Viernes","Sábado","Domingo"},0)-1)</f>
        <v/>
      </c>
    </row>
    <row r="443" customFormat="false" ht="15" hidden="false" customHeight="false" outlineLevel="0" collapsed="false">
      <c r="G443" s="23" t="str">
        <f aca="false">IF(OR(D443="",E443=""),"",E443*IFERROR(VLOOKUP(F443,Perfil!$B$19:$C$24,2,0),1))</f>
        <v/>
      </c>
      <c r="H443" s="23" t="str">
        <f aca="false">IF(G443="","",G443/100*INDEX(Alimentos!$E$5:$E$40,MATCH($D443,Alimentos!$B$5:$B$40,0)))</f>
        <v/>
      </c>
      <c r="I443" s="23" t="str">
        <f aca="false">IF(G443="","",G443/100*INDEX(Alimentos!$F$5:$F$40,MATCH($D443,Alimentos!$B$5:$B$40,0)))</f>
        <v/>
      </c>
      <c r="J443" s="23" t="str">
        <f aca="false">IF(G443="","",G443/100*INDEX(Alimentos!$G$5:$G$40,MATCH($D443,Alimentos!$B$5:$B$40,0)))</f>
        <v/>
      </c>
      <c r="K443" s="23" t="str">
        <f aca="false">IF(G443="","",G443/100*INDEX(Alimentos!$H$5:$H$40,MATCH($D443,Alimentos!$B$5:$B$40,0)))</f>
        <v/>
      </c>
      <c r="L443" s="24" t="str">
        <f aca="false">IF(OR(A443="",B443=""),"",Perfil!$C$13+(A443-1)*7+MATCH(B443,{"Lunes","Martes","Miércoles","Jueves","Viernes","Sábado","Domingo"},0)-1)</f>
        <v/>
      </c>
    </row>
    <row r="444" customFormat="false" ht="15" hidden="false" customHeight="false" outlineLevel="0" collapsed="false">
      <c r="G444" s="23" t="str">
        <f aca="false">IF(OR(D444="",E444=""),"",E444*IFERROR(VLOOKUP(F444,Perfil!$B$19:$C$24,2,0),1))</f>
        <v/>
      </c>
      <c r="H444" s="23" t="str">
        <f aca="false">IF(G444="","",G444/100*INDEX(Alimentos!$E$5:$E$40,MATCH($D444,Alimentos!$B$5:$B$40,0)))</f>
        <v/>
      </c>
      <c r="I444" s="23" t="str">
        <f aca="false">IF(G444="","",G444/100*INDEX(Alimentos!$F$5:$F$40,MATCH($D444,Alimentos!$B$5:$B$40,0)))</f>
        <v/>
      </c>
      <c r="J444" s="23" t="str">
        <f aca="false">IF(G444="","",G444/100*INDEX(Alimentos!$G$5:$G$40,MATCH($D444,Alimentos!$B$5:$B$40,0)))</f>
        <v/>
      </c>
      <c r="K444" s="23" t="str">
        <f aca="false">IF(G444="","",G444/100*INDEX(Alimentos!$H$5:$H$40,MATCH($D444,Alimentos!$B$5:$B$40,0)))</f>
        <v/>
      </c>
      <c r="L444" s="24" t="str">
        <f aca="false">IF(OR(A444="",B444=""),"",Perfil!$C$13+(A444-1)*7+MATCH(B444,{"Lunes","Martes","Miércoles","Jueves","Viernes","Sábado","Domingo"},0)-1)</f>
        <v/>
      </c>
    </row>
    <row r="445" customFormat="false" ht="15" hidden="false" customHeight="false" outlineLevel="0" collapsed="false">
      <c r="G445" s="23" t="str">
        <f aca="false">IF(OR(D445="",E445=""),"",E445*IFERROR(VLOOKUP(F445,Perfil!$B$19:$C$24,2,0),1))</f>
        <v/>
      </c>
      <c r="H445" s="23" t="str">
        <f aca="false">IF(G445="","",G445/100*INDEX(Alimentos!$E$5:$E$40,MATCH($D445,Alimentos!$B$5:$B$40,0)))</f>
        <v/>
      </c>
      <c r="I445" s="23" t="str">
        <f aca="false">IF(G445="","",G445/100*INDEX(Alimentos!$F$5:$F$40,MATCH($D445,Alimentos!$B$5:$B$40,0)))</f>
        <v/>
      </c>
      <c r="J445" s="23" t="str">
        <f aca="false">IF(G445="","",G445/100*INDEX(Alimentos!$G$5:$G$40,MATCH($D445,Alimentos!$B$5:$B$40,0)))</f>
        <v/>
      </c>
      <c r="K445" s="23" t="str">
        <f aca="false">IF(G445="","",G445/100*INDEX(Alimentos!$H$5:$H$40,MATCH($D445,Alimentos!$B$5:$B$40,0)))</f>
        <v/>
      </c>
      <c r="L445" s="24" t="str">
        <f aca="false">IF(OR(A445="",B445=""),"",Perfil!$C$13+(A445-1)*7+MATCH(B445,{"Lunes","Martes","Miércoles","Jueves","Viernes","Sábado","Domingo"},0)-1)</f>
        <v/>
      </c>
    </row>
    <row r="446" customFormat="false" ht="15" hidden="false" customHeight="false" outlineLevel="0" collapsed="false">
      <c r="G446" s="23" t="str">
        <f aca="false">IF(OR(D446="",E446=""),"",E446*IFERROR(VLOOKUP(F446,Perfil!$B$19:$C$24,2,0),1))</f>
        <v/>
      </c>
      <c r="H446" s="23" t="str">
        <f aca="false">IF(G446="","",G446/100*INDEX(Alimentos!$E$5:$E$40,MATCH($D446,Alimentos!$B$5:$B$40,0)))</f>
        <v/>
      </c>
      <c r="I446" s="23" t="str">
        <f aca="false">IF(G446="","",G446/100*INDEX(Alimentos!$F$5:$F$40,MATCH($D446,Alimentos!$B$5:$B$40,0)))</f>
        <v/>
      </c>
      <c r="J446" s="23" t="str">
        <f aca="false">IF(G446="","",G446/100*INDEX(Alimentos!$G$5:$G$40,MATCH($D446,Alimentos!$B$5:$B$40,0)))</f>
        <v/>
      </c>
      <c r="K446" s="23" t="str">
        <f aca="false">IF(G446="","",G446/100*INDEX(Alimentos!$H$5:$H$40,MATCH($D446,Alimentos!$B$5:$B$40,0)))</f>
        <v/>
      </c>
      <c r="L446" s="24" t="str">
        <f aca="false">IF(OR(A446="",B446=""),"",Perfil!$C$13+(A446-1)*7+MATCH(B446,{"Lunes","Martes","Miércoles","Jueves","Viernes","Sábado","Domingo"},0)-1)</f>
        <v/>
      </c>
    </row>
    <row r="447" customFormat="false" ht="15" hidden="false" customHeight="false" outlineLevel="0" collapsed="false">
      <c r="G447" s="23" t="str">
        <f aca="false">IF(OR(D447="",E447=""),"",E447*IFERROR(VLOOKUP(F447,Perfil!$B$19:$C$24,2,0),1))</f>
        <v/>
      </c>
      <c r="H447" s="23" t="str">
        <f aca="false">IF(G447="","",G447/100*INDEX(Alimentos!$E$5:$E$40,MATCH($D447,Alimentos!$B$5:$B$40,0)))</f>
        <v/>
      </c>
      <c r="I447" s="23" t="str">
        <f aca="false">IF(G447="","",G447/100*INDEX(Alimentos!$F$5:$F$40,MATCH($D447,Alimentos!$B$5:$B$40,0)))</f>
        <v/>
      </c>
      <c r="J447" s="23" t="str">
        <f aca="false">IF(G447="","",G447/100*INDEX(Alimentos!$G$5:$G$40,MATCH($D447,Alimentos!$B$5:$B$40,0)))</f>
        <v/>
      </c>
      <c r="K447" s="23" t="str">
        <f aca="false">IF(G447="","",G447/100*INDEX(Alimentos!$H$5:$H$40,MATCH($D447,Alimentos!$B$5:$B$40,0)))</f>
        <v/>
      </c>
      <c r="L447" s="24" t="str">
        <f aca="false">IF(OR(A447="",B447=""),"",Perfil!$C$13+(A447-1)*7+MATCH(B447,{"Lunes","Martes","Miércoles","Jueves","Viernes","Sábado","Domingo"},0)-1)</f>
        <v/>
      </c>
    </row>
    <row r="448" customFormat="false" ht="15" hidden="false" customHeight="false" outlineLevel="0" collapsed="false">
      <c r="G448" s="23" t="str">
        <f aca="false">IF(OR(D448="",E448=""),"",E448*IFERROR(VLOOKUP(F448,Perfil!$B$19:$C$24,2,0),1))</f>
        <v/>
      </c>
      <c r="H448" s="23" t="str">
        <f aca="false">IF(G448="","",G448/100*INDEX(Alimentos!$E$5:$E$40,MATCH($D448,Alimentos!$B$5:$B$40,0)))</f>
        <v/>
      </c>
      <c r="I448" s="23" t="str">
        <f aca="false">IF(G448="","",G448/100*INDEX(Alimentos!$F$5:$F$40,MATCH($D448,Alimentos!$B$5:$B$40,0)))</f>
        <v/>
      </c>
      <c r="J448" s="23" t="str">
        <f aca="false">IF(G448="","",G448/100*INDEX(Alimentos!$G$5:$G$40,MATCH($D448,Alimentos!$B$5:$B$40,0)))</f>
        <v/>
      </c>
      <c r="K448" s="23" t="str">
        <f aca="false">IF(G448="","",G448/100*INDEX(Alimentos!$H$5:$H$40,MATCH($D448,Alimentos!$B$5:$B$40,0)))</f>
        <v/>
      </c>
      <c r="L448" s="24" t="str">
        <f aca="false">IF(OR(A448="",B448=""),"",Perfil!$C$13+(A448-1)*7+MATCH(B448,{"Lunes","Martes","Miércoles","Jueves","Viernes","Sábado","Domingo"},0)-1)</f>
        <v/>
      </c>
    </row>
    <row r="449" customFormat="false" ht="15" hidden="false" customHeight="false" outlineLevel="0" collapsed="false">
      <c r="G449" s="23" t="str">
        <f aca="false">IF(OR(D449="",E449=""),"",E449*IFERROR(VLOOKUP(F449,Perfil!$B$19:$C$24,2,0),1))</f>
        <v/>
      </c>
      <c r="H449" s="23" t="str">
        <f aca="false">IF(G449="","",G449/100*INDEX(Alimentos!$E$5:$E$40,MATCH($D449,Alimentos!$B$5:$B$40,0)))</f>
        <v/>
      </c>
      <c r="I449" s="23" t="str">
        <f aca="false">IF(G449="","",G449/100*INDEX(Alimentos!$F$5:$F$40,MATCH($D449,Alimentos!$B$5:$B$40,0)))</f>
        <v/>
      </c>
      <c r="J449" s="23" t="str">
        <f aca="false">IF(G449="","",G449/100*INDEX(Alimentos!$G$5:$G$40,MATCH($D449,Alimentos!$B$5:$B$40,0)))</f>
        <v/>
      </c>
      <c r="K449" s="23" t="str">
        <f aca="false">IF(G449="","",G449/100*INDEX(Alimentos!$H$5:$H$40,MATCH($D449,Alimentos!$B$5:$B$40,0)))</f>
        <v/>
      </c>
      <c r="L449" s="24" t="str">
        <f aca="false">IF(OR(A449="",B449=""),"",Perfil!$C$13+(A449-1)*7+MATCH(B449,{"Lunes","Martes","Miércoles","Jueves","Viernes","Sábado","Domingo"},0)-1)</f>
        <v/>
      </c>
    </row>
    <row r="450" customFormat="false" ht="15" hidden="false" customHeight="false" outlineLevel="0" collapsed="false">
      <c r="G450" s="23" t="str">
        <f aca="false">IF(OR(D450="",E450=""),"",E450*IFERROR(VLOOKUP(F450,Perfil!$B$19:$C$24,2,0),1))</f>
        <v/>
      </c>
      <c r="H450" s="23" t="str">
        <f aca="false">IF(G450="","",G450/100*INDEX(Alimentos!$E$5:$E$40,MATCH($D450,Alimentos!$B$5:$B$40,0)))</f>
        <v/>
      </c>
      <c r="I450" s="23" t="str">
        <f aca="false">IF(G450="","",G450/100*INDEX(Alimentos!$F$5:$F$40,MATCH($D450,Alimentos!$B$5:$B$40,0)))</f>
        <v/>
      </c>
      <c r="J450" s="23" t="str">
        <f aca="false">IF(G450="","",G450/100*INDEX(Alimentos!$G$5:$G$40,MATCH($D450,Alimentos!$B$5:$B$40,0)))</f>
        <v/>
      </c>
      <c r="K450" s="23" t="str">
        <f aca="false">IF(G450="","",G450/100*INDEX(Alimentos!$H$5:$H$40,MATCH($D450,Alimentos!$B$5:$B$40,0)))</f>
        <v/>
      </c>
      <c r="L450" s="24" t="str">
        <f aca="false">IF(OR(A450="",B450=""),"",Perfil!$C$13+(A450-1)*7+MATCH(B450,{"Lunes","Martes","Miércoles","Jueves","Viernes","Sábado","Domingo"},0)-1)</f>
        <v/>
      </c>
    </row>
    <row r="451" customFormat="false" ht="15" hidden="false" customHeight="false" outlineLevel="0" collapsed="false">
      <c r="G451" s="23" t="str">
        <f aca="false">IF(OR(D451="",E451=""),"",E451*IFERROR(VLOOKUP(F451,Perfil!$B$19:$C$24,2,0),1))</f>
        <v/>
      </c>
      <c r="H451" s="23" t="str">
        <f aca="false">IF(G451="","",G451/100*INDEX(Alimentos!$E$5:$E$40,MATCH($D451,Alimentos!$B$5:$B$40,0)))</f>
        <v/>
      </c>
      <c r="I451" s="23" t="str">
        <f aca="false">IF(G451="","",G451/100*INDEX(Alimentos!$F$5:$F$40,MATCH($D451,Alimentos!$B$5:$B$40,0)))</f>
        <v/>
      </c>
      <c r="J451" s="23" t="str">
        <f aca="false">IF(G451="","",G451/100*INDEX(Alimentos!$G$5:$G$40,MATCH($D451,Alimentos!$B$5:$B$40,0)))</f>
        <v/>
      </c>
      <c r="K451" s="23" t="str">
        <f aca="false">IF(G451="","",G451/100*INDEX(Alimentos!$H$5:$H$40,MATCH($D451,Alimentos!$B$5:$B$40,0)))</f>
        <v/>
      </c>
      <c r="L451" s="24" t="str">
        <f aca="false">IF(OR(A451="",B451=""),"",Perfil!$C$13+(A451-1)*7+MATCH(B451,{"Lunes","Martes","Miércoles","Jueves","Viernes","Sábado","Domingo"},0)-1)</f>
        <v/>
      </c>
    </row>
    <row r="452" customFormat="false" ht="15" hidden="false" customHeight="false" outlineLevel="0" collapsed="false">
      <c r="G452" s="23" t="str">
        <f aca="false">IF(OR(D452="",E452=""),"",E452*IFERROR(VLOOKUP(F452,Perfil!$B$19:$C$24,2,0),1))</f>
        <v/>
      </c>
      <c r="H452" s="23" t="str">
        <f aca="false">IF(G452="","",G452/100*INDEX(Alimentos!$E$5:$E$40,MATCH($D452,Alimentos!$B$5:$B$40,0)))</f>
        <v/>
      </c>
      <c r="I452" s="23" t="str">
        <f aca="false">IF(G452="","",G452/100*INDEX(Alimentos!$F$5:$F$40,MATCH($D452,Alimentos!$B$5:$B$40,0)))</f>
        <v/>
      </c>
      <c r="J452" s="23" t="str">
        <f aca="false">IF(G452="","",G452/100*INDEX(Alimentos!$G$5:$G$40,MATCH($D452,Alimentos!$B$5:$B$40,0)))</f>
        <v/>
      </c>
      <c r="K452" s="23" t="str">
        <f aca="false">IF(G452="","",G452/100*INDEX(Alimentos!$H$5:$H$40,MATCH($D452,Alimentos!$B$5:$B$40,0)))</f>
        <v/>
      </c>
      <c r="L452" s="24" t="str">
        <f aca="false">IF(OR(A452="",B452=""),"",Perfil!$C$13+(A452-1)*7+MATCH(B452,{"Lunes","Martes","Miércoles","Jueves","Viernes","Sábado","Domingo"},0)-1)</f>
        <v/>
      </c>
    </row>
    <row r="453" customFormat="false" ht="15" hidden="false" customHeight="false" outlineLevel="0" collapsed="false">
      <c r="G453" s="23" t="str">
        <f aca="false">IF(OR(D453="",E453=""),"",E453*IFERROR(VLOOKUP(F453,Perfil!$B$19:$C$24,2,0),1))</f>
        <v/>
      </c>
      <c r="H453" s="23" t="str">
        <f aca="false">IF(G453="","",G453/100*INDEX(Alimentos!$E$5:$E$40,MATCH($D453,Alimentos!$B$5:$B$40,0)))</f>
        <v/>
      </c>
      <c r="I453" s="23" t="str">
        <f aca="false">IF(G453="","",G453/100*INDEX(Alimentos!$F$5:$F$40,MATCH($D453,Alimentos!$B$5:$B$40,0)))</f>
        <v/>
      </c>
      <c r="J453" s="23" t="str">
        <f aca="false">IF(G453="","",G453/100*INDEX(Alimentos!$G$5:$G$40,MATCH($D453,Alimentos!$B$5:$B$40,0)))</f>
        <v/>
      </c>
      <c r="K453" s="23" t="str">
        <f aca="false">IF(G453="","",G453/100*INDEX(Alimentos!$H$5:$H$40,MATCH($D453,Alimentos!$B$5:$B$40,0)))</f>
        <v/>
      </c>
      <c r="L453" s="24" t="str">
        <f aca="false">IF(OR(A453="",B453=""),"",Perfil!$C$13+(A453-1)*7+MATCH(B453,{"Lunes","Martes","Miércoles","Jueves","Viernes","Sábado","Domingo"},0)-1)</f>
        <v/>
      </c>
    </row>
    <row r="454" customFormat="false" ht="15" hidden="false" customHeight="false" outlineLevel="0" collapsed="false">
      <c r="G454" s="23" t="str">
        <f aca="false">IF(OR(D454="",E454=""),"",E454*IFERROR(VLOOKUP(F454,Perfil!$B$19:$C$24,2,0),1))</f>
        <v/>
      </c>
      <c r="H454" s="23" t="str">
        <f aca="false">IF(G454="","",G454/100*INDEX(Alimentos!$E$5:$E$40,MATCH($D454,Alimentos!$B$5:$B$40,0)))</f>
        <v/>
      </c>
      <c r="I454" s="23" t="str">
        <f aca="false">IF(G454="","",G454/100*INDEX(Alimentos!$F$5:$F$40,MATCH($D454,Alimentos!$B$5:$B$40,0)))</f>
        <v/>
      </c>
      <c r="J454" s="23" t="str">
        <f aca="false">IF(G454="","",G454/100*INDEX(Alimentos!$G$5:$G$40,MATCH($D454,Alimentos!$B$5:$B$40,0)))</f>
        <v/>
      </c>
      <c r="K454" s="23" t="str">
        <f aca="false">IF(G454="","",G454/100*INDEX(Alimentos!$H$5:$H$40,MATCH($D454,Alimentos!$B$5:$B$40,0)))</f>
        <v/>
      </c>
      <c r="L454" s="24" t="str">
        <f aca="false">IF(OR(A454="",B454=""),"",Perfil!$C$13+(A454-1)*7+MATCH(B454,{"Lunes","Martes","Miércoles","Jueves","Viernes","Sábado","Domingo"},0)-1)</f>
        <v/>
      </c>
    </row>
    <row r="455" customFormat="false" ht="15" hidden="false" customHeight="false" outlineLevel="0" collapsed="false">
      <c r="G455" s="23" t="str">
        <f aca="false">IF(OR(D455="",E455=""),"",E455*IFERROR(VLOOKUP(F455,Perfil!$B$19:$C$24,2,0),1))</f>
        <v/>
      </c>
      <c r="H455" s="23" t="str">
        <f aca="false">IF(G455="","",G455/100*INDEX(Alimentos!$E$5:$E$40,MATCH($D455,Alimentos!$B$5:$B$40,0)))</f>
        <v/>
      </c>
      <c r="I455" s="23" t="str">
        <f aca="false">IF(G455="","",G455/100*INDEX(Alimentos!$F$5:$F$40,MATCH($D455,Alimentos!$B$5:$B$40,0)))</f>
        <v/>
      </c>
      <c r="J455" s="23" t="str">
        <f aca="false">IF(G455="","",G455/100*INDEX(Alimentos!$G$5:$G$40,MATCH($D455,Alimentos!$B$5:$B$40,0)))</f>
        <v/>
      </c>
      <c r="K455" s="23" t="str">
        <f aca="false">IF(G455="","",G455/100*INDEX(Alimentos!$H$5:$H$40,MATCH($D455,Alimentos!$B$5:$B$40,0)))</f>
        <v/>
      </c>
      <c r="L455" s="24" t="str">
        <f aca="false">IF(OR(A455="",B455=""),"",Perfil!$C$13+(A455-1)*7+MATCH(B455,{"Lunes","Martes","Miércoles","Jueves","Viernes","Sábado","Domingo"},0)-1)</f>
        <v/>
      </c>
    </row>
    <row r="456" customFormat="false" ht="15" hidden="false" customHeight="false" outlineLevel="0" collapsed="false">
      <c r="G456" s="23" t="str">
        <f aca="false">IF(OR(D456="",E456=""),"",E456*IFERROR(VLOOKUP(F456,Perfil!$B$19:$C$24,2,0),1))</f>
        <v/>
      </c>
      <c r="H456" s="23" t="str">
        <f aca="false">IF(G456="","",G456/100*INDEX(Alimentos!$E$5:$E$40,MATCH($D456,Alimentos!$B$5:$B$40,0)))</f>
        <v/>
      </c>
      <c r="I456" s="23" t="str">
        <f aca="false">IF(G456="","",G456/100*INDEX(Alimentos!$F$5:$F$40,MATCH($D456,Alimentos!$B$5:$B$40,0)))</f>
        <v/>
      </c>
      <c r="J456" s="23" t="str">
        <f aca="false">IF(G456="","",G456/100*INDEX(Alimentos!$G$5:$G$40,MATCH($D456,Alimentos!$B$5:$B$40,0)))</f>
        <v/>
      </c>
      <c r="K456" s="23" t="str">
        <f aca="false">IF(G456="","",G456/100*INDEX(Alimentos!$H$5:$H$40,MATCH($D456,Alimentos!$B$5:$B$40,0)))</f>
        <v/>
      </c>
      <c r="L456" s="24" t="str">
        <f aca="false">IF(OR(A456="",B456=""),"",Perfil!$C$13+(A456-1)*7+MATCH(B456,{"Lunes","Martes","Miércoles","Jueves","Viernes","Sábado","Domingo"},0)-1)</f>
        <v/>
      </c>
    </row>
    <row r="457" customFormat="false" ht="15" hidden="false" customHeight="false" outlineLevel="0" collapsed="false">
      <c r="G457" s="23" t="str">
        <f aca="false">IF(OR(D457="",E457=""),"",E457*IFERROR(VLOOKUP(F457,Perfil!$B$19:$C$24,2,0),1))</f>
        <v/>
      </c>
      <c r="H457" s="23" t="str">
        <f aca="false">IF(G457="","",G457/100*INDEX(Alimentos!$E$5:$E$40,MATCH($D457,Alimentos!$B$5:$B$40,0)))</f>
        <v/>
      </c>
      <c r="I457" s="23" t="str">
        <f aca="false">IF(G457="","",G457/100*INDEX(Alimentos!$F$5:$F$40,MATCH($D457,Alimentos!$B$5:$B$40,0)))</f>
        <v/>
      </c>
      <c r="J457" s="23" t="str">
        <f aca="false">IF(G457="","",G457/100*INDEX(Alimentos!$G$5:$G$40,MATCH($D457,Alimentos!$B$5:$B$40,0)))</f>
        <v/>
      </c>
      <c r="K457" s="23" t="str">
        <f aca="false">IF(G457="","",G457/100*INDEX(Alimentos!$H$5:$H$40,MATCH($D457,Alimentos!$B$5:$B$40,0)))</f>
        <v/>
      </c>
      <c r="L457" s="24" t="str">
        <f aca="false">IF(OR(A457="",B457=""),"",Perfil!$C$13+(A457-1)*7+MATCH(B457,{"Lunes","Martes","Miércoles","Jueves","Viernes","Sábado","Domingo"},0)-1)</f>
        <v/>
      </c>
    </row>
    <row r="458" customFormat="false" ht="15" hidden="false" customHeight="false" outlineLevel="0" collapsed="false">
      <c r="G458" s="23" t="str">
        <f aca="false">IF(OR(D458="",E458=""),"",E458*IFERROR(VLOOKUP(F458,Perfil!$B$19:$C$24,2,0),1))</f>
        <v/>
      </c>
      <c r="H458" s="23" t="str">
        <f aca="false">IF(G458="","",G458/100*INDEX(Alimentos!$E$5:$E$40,MATCH($D458,Alimentos!$B$5:$B$40,0)))</f>
        <v/>
      </c>
      <c r="I458" s="23" t="str">
        <f aca="false">IF(G458="","",G458/100*INDEX(Alimentos!$F$5:$F$40,MATCH($D458,Alimentos!$B$5:$B$40,0)))</f>
        <v/>
      </c>
      <c r="J458" s="23" t="str">
        <f aca="false">IF(G458="","",G458/100*INDEX(Alimentos!$G$5:$G$40,MATCH($D458,Alimentos!$B$5:$B$40,0)))</f>
        <v/>
      </c>
      <c r="K458" s="23" t="str">
        <f aca="false">IF(G458="","",G458/100*INDEX(Alimentos!$H$5:$H$40,MATCH($D458,Alimentos!$B$5:$B$40,0)))</f>
        <v/>
      </c>
      <c r="L458" s="24" t="str">
        <f aca="false">IF(OR(A458="",B458=""),"",Perfil!$C$13+(A458-1)*7+MATCH(B458,{"Lunes","Martes","Miércoles","Jueves","Viernes","Sábado","Domingo"},0)-1)</f>
        <v/>
      </c>
    </row>
    <row r="459" customFormat="false" ht="15" hidden="false" customHeight="false" outlineLevel="0" collapsed="false">
      <c r="G459" s="23" t="str">
        <f aca="false">IF(OR(D459="",E459=""),"",E459*IFERROR(VLOOKUP(F459,Perfil!$B$19:$C$24,2,0),1))</f>
        <v/>
      </c>
      <c r="H459" s="23" t="str">
        <f aca="false">IF(G459="","",G459/100*INDEX(Alimentos!$E$5:$E$40,MATCH($D459,Alimentos!$B$5:$B$40,0)))</f>
        <v/>
      </c>
      <c r="I459" s="23" t="str">
        <f aca="false">IF(G459="","",G459/100*INDEX(Alimentos!$F$5:$F$40,MATCH($D459,Alimentos!$B$5:$B$40,0)))</f>
        <v/>
      </c>
      <c r="J459" s="23" t="str">
        <f aca="false">IF(G459="","",G459/100*INDEX(Alimentos!$G$5:$G$40,MATCH($D459,Alimentos!$B$5:$B$40,0)))</f>
        <v/>
      </c>
      <c r="K459" s="23" t="str">
        <f aca="false">IF(G459="","",G459/100*INDEX(Alimentos!$H$5:$H$40,MATCH($D459,Alimentos!$B$5:$B$40,0)))</f>
        <v/>
      </c>
      <c r="L459" s="24" t="str">
        <f aca="false">IF(OR(A459="",B459=""),"",Perfil!$C$13+(A459-1)*7+MATCH(B459,{"Lunes","Martes","Miércoles","Jueves","Viernes","Sábado","Domingo"},0)-1)</f>
        <v/>
      </c>
    </row>
    <row r="460" customFormat="false" ht="15" hidden="false" customHeight="false" outlineLevel="0" collapsed="false">
      <c r="G460" s="23" t="str">
        <f aca="false">IF(OR(D460="",E460=""),"",E460*IFERROR(VLOOKUP(F460,Perfil!$B$19:$C$24,2,0),1))</f>
        <v/>
      </c>
      <c r="H460" s="23" t="str">
        <f aca="false">IF(G460="","",G460/100*INDEX(Alimentos!$E$5:$E$40,MATCH($D460,Alimentos!$B$5:$B$40,0)))</f>
        <v/>
      </c>
      <c r="I460" s="23" t="str">
        <f aca="false">IF(G460="","",G460/100*INDEX(Alimentos!$F$5:$F$40,MATCH($D460,Alimentos!$B$5:$B$40,0)))</f>
        <v/>
      </c>
      <c r="J460" s="23" t="str">
        <f aca="false">IF(G460="","",G460/100*INDEX(Alimentos!$G$5:$G$40,MATCH($D460,Alimentos!$B$5:$B$40,0)))</f>
        <v/>
      </c>
      <c r="K460" s="23" t="str">
        <f aca="false">IF(G460="","",G460/100*INDEX(Alimentos!$H$5:$H$40,MATCH($D460,Alimentos!$B$5:$B$40,0)))</f>
        <v/>
      </c>
      <c r="L460" s="24" t="str">
        <f aca="false">IF(OR(A460="",B460=""),"",Perfil!$C$13+(A460-1)*7+MATCH(B460,{"Lunes","Martes","Miércoles","Jueves","Viernes","Sábado","Domingo"},0)-1)</f>
        <v/>
      </c>
    </row>
    <row r="461" customFormat="false" ht="15" hidden="false" customHeight="false" outlineLevel="0" collapsed="false">
      <c r="G461" s="23" t="str">
        <f aca="false">IF(OR(D461="",E461=""),"",E461*IFERROR(VLOOKUP(F461,Perfil!$B$19:$C$24,2,0),1))</f>
        <v/>
      </c>
      <c r="H461" s="23" t="str">
        <f aca="false">IF(G461="","",G461/100*INDEX(Alimentos!$E$5:$E$40,MATCH($D461,Alimentos!$B$5:$B$40,0)))</f>
        <v/>
      </c>
      <c r="I461" s="23" t="str">
        <f aca="false">IF(G461="","",G461/100*INDEX(Alimentos!$F$5:$F$40,MATCH($D461,Alimentos!$B$5:$B$40,0)))</f>
        <v/>
      </c>
      <c r="J461" s="23" t="str">
        <f aca="false">IF(G461="","",G461/100*INDEX(Alimentos!$G$5:$G$40,MATCH($D461,Alimentos!$B$5:$B$40,0)))</f>
        <v/>
      </c>
      <c r="K461" s="23" t="str">
        <f aca="false">IF(G461="","",G461/100*INDEX(Alimentos!$H$5:$H$40,MATCH($D461,Alimentos!$B$5:$B$40,0)))</f>
        <v/>
      </c>
      <c r="L461" s="24" t="str">
        <f aca="false">IF(OR(A461="",B461=""),"",Perfil!$C$13+(A461-1)*7+MATCH(B461,{"Lunes","Martes","Miércoles","Jueves","Viernes","Sábado","Domingo"},0)-1)</f>
        <v/>
      </c>
    </row>
    <row r="462" customFormat="false" ht="15" hidden="false" customHeight="false" outlineLevel="0" collapsed="false">
      <c r="G462" s="23" t="str">
        <f aca="false">IF(OR(D462="",E462=""),"",E462*IFERROR(VLOOKUP(F462,Perfil!$B$19:$C$24,2,0),1))</f>
        <v/>
      </c>
      <c r="H462" s="23" t="str">
        <f aca="false">IF(G462="","",G462/100*INDEX(Alimentos!$E$5:$E$40,MATCH($D462,Alimentos!$B$5:$B$40,0)))</f>
        <v/>
      </c>
      <c r="I462" s="23" t="str">
        <f aca="false">IF(G462="","",G462/100*INDEX(Alimentos!$F$5:$F$40,MATCH($D462,Alimentos!$B$5:$B$40,0)))</f>
        <v/>
      </c>
      <c r="J462" s="23" t="str">
        <f aca="false">IF(G462="","",G462/100*INDEX(Alimentos!$G$5:$G$40,MATCH($D462,Alimentos!$B$5:$B$40,0)))</f>
        <v/>
      </c>
      <c r="K462" s="23" t="str">
        <f aca="false">IF(G462="","",G462/100*INDEX(Alimentos!$H$5:$H$40,MATCH($D462,Alimentos!$B$5:$B$40,0)))</f>
        <v/>
      </c>
      <c r="L462" s="24" t="str">
        <f aca="false">IF(OR(A462="",B462=""),"",Perfil!$C$13+(A462-1)*7+MATCH(B462,{"Lunes","Martes","Miércoles","Jueves","Viernes","Sábado","Domingo"},0)-1)</f>
        <v/>
      </c>
    </row>
    <row r="463" customFormat="false" ht="15" hidden="false" customHeight="false" outlineLevel="0" collapsed="false">
      <c r="G463" s="23" t="str">
        <f aca="false">IF(OR(D463="",E463=""),"",E463*IFERROR(VLOOKUP(F463,Perfil!$B$19:$C$24,2,0),1))</f>
        <v/>
      </c>
      <c r="H463" s="23" t="str">
        <f aca="false">IF(G463="","",G463/100*INDEX(Alimentos!$E$5:$E$40,MATCH($D463,Alimentos!$B$5:$B$40,0)))</f>
        <v/>
      </c>
      <c r="I463" s="23" t="str">
        <f aca="false">IF(G463="","",G463/100*INDEX(Alimentos!$F$5:$F$40,MATCH($D463,Alimentos!$B$5:$B$40,0)))</f>
        <v/>
      </c>
      <c r="J463" s="23" t="str">
        <f aca="false">IF(G463="","",G463/100*INDEX(Alimentos!$G$5:$G$40,MATCH($D463,Alimentos!$B$5:$B$40,0)))</f>
        <v/>
      </c>
      <c r="K463" s="23" t="str">
        <f aca="false">IF(G463="","",G463/100*INDEX(Alimentos!$H$5:$H$40,MATCH($D463,Alimentos!$B$5:$B$40,0)))</f>
        <v/>
      </c>
      <c r="L463" s="24" t="str">
        <f aca="false">IF(OR(A463="",B463=""),"",Perfil!$C$13+(A463-1)*7+MATCH(B463,{"Lunes","Martes","Miércoles","Jueves","Viernes","Sábado","Domingo"},0)-1)</f>
        <v/>
      </c>
    </row>
    <row r="464" customFormat="false" ht="15" hidden="false" customHeight="false" outlineLevel="0" collapsed="false">
      <c r="G464" s="23" t="str">
        <f aca="false">IF(OR(D464="",E464=""),"",E464*IFERROR(VLOOKUP(F464,Perfil!$B$19:$C$24,2,0),1))</f>
        <v/>
      </c>
      <c r="H464" s="23" t="str">
        <f aca="false">IF(G464="","",G464/100*INDEX(Alimentos!$E$5:$E$40,MATCH($D464,Alimentos!$B$5:$B$40,0)))</f>
        <v/>
      </c>
      <c r="I464" s="23" t="str">
        <f aca="false">IF(G464="","",G464/100*INDEX(Alimentos!$F$5:$F$40,MATCH($D464,Alimentos!$B$5:$B$40,0)))</f>
        <v/>
      </c>
      <c r="J464" s="23" t="str">
        <f aca="false">IF(G464="","",G464/100*INDEX(Alimentos!$G$5:$G$40,MATCH($D464,Alimentos!$B$5:$B$40,0)))</f>
        <v/>
      </c>
      <c r="K464" s="23" t="str">
        <f aca="false">IF(G464="","",G464/100*INDEX(Alimentos!$H$5:$H$40,MATCH($D464,Alimentos!$B$5:$B$40,0)))</f>
        <v/>
      </c>
      <c r="L464" s="24" t="str">
        <f aca="false">IF(OR(A464="",B464=""),"",Perfil!$C$13+(A464-1)*7+MATCH(B464,{"Lunes","Martes","Miércoles","Jueves","Viernes","Sábado","Domingo"},0)-1)</f>
        <v/>
      </c>
    </row>
    <row r="465" customFormat="false" ht="15" hidden="false" customHeight="false" outlineLevel="0" collapsed="false">
      <c r="G465" s="23" t="str">
        <f aca="false">IF(OR(D465="",E465=""),"",E465*IFERROR(VLOOKUP(F465,Perfil!$B$19:$C$24,2,0),1))</f>
        <v/>
      </c>
      <c r="H465" s="23" t="str">
        <f aca="false">IF(G465="","",G465/100*INDEX(Alimentos!$E$5:$E$40,MATCH($D465,Alimentos!$B$5:$B$40,0)))</f>
        <v/>
      </c>
      <c r="I465" s="23" t="str">
        <f aca="false">IF(G465="","",G465/100*INDEX(Alimentos!$F$5:$F$40,MATCH($D465,Alimentos!$B$5:$B$40,0)))</f>
        <v/>
      </c>
      <c r="J465" s="23" t="str">
        <f aca="false">IF(G465="","",G465/100*INDEX(Alimentos!$G$5:$G$40,MATCH($D465,Alimentos!$B$5:$B$40,0)))</f>
        <v/>
      </c>
      <c r="K465" s="23" t="str">
        <f aca="false">IF(G465="","",G465/100*INDEX(Alimentos!$H$5:$H$40,MATCH($D465,Alimentos!$B$5:$B$40,0)))</f>
        <v/>
      </c>
      <c r="L465" s="24" t="str">
        <f aca="false">IF(OR(A465="",B465=""),"",Perfil!$C$13+(A465-1)*7+MATCH(B465,{"Lunes","Martes","Miércoles","Jueves","Viernes","Sábado","Domingo"},0)-1)</f>
        <v/>
      </c>
    </row>
    <row r="466" customFormat="false" ht="15" hidden="false" customHeight="false" outlineLevel="0" collapsed="false">
      <c r="G466" s="23" t="str">
        <f aca="false">IF(OR(D466="",E466=""),"",E466*IFERROR(VLOOKUP(F466,Perfil!$B$19:$C$24,2,0),1))</f>
        <v/>
      </c>
      <c r="H466" s="23" t="str">
        <f aca="false">IF(G466="","",G466/100*INDEX(Alimentos!$E$5:$E$40,MATCH($D466,Alimentos!$B$5:$B$40,0)))</f>
        <v/>
      </c>
      <c r="I466" s="23" t="str">
        <f aca="false">IF(G466="","",G466/100*INDEX(Alimentos!$F$5:$F$40,MATCH($D466,Alimentos!$B$5:$B$40,0)))</f>
        <v/>
      </c>
      <c r="J466" s="23" t="str">
        <f aca="false">IF(G466="","",G466/100*INDEX(Alimentos!$G$5:$G$40,MATCH($D466,Alimentos!$B$5:$B$40,0)))</f>
        <v/>
      </c>
      <c r="K466" s="23" t="str">
        <f aca="false">IF(G466="","",G466/100*INDEX(Alimentos!$H$5:$H$40,MATCH($D466,Alimentos!$B$5:$B$40,0)))</f>
        <v/>
      </c>
      <c r="L466" s="24" t="str">
        <f aca="false">IF(OR(A466="",B466=""),"",Perfil!$C$13+(A466-1)*7+MATCH(B466,{"Lunes","Martes","Miércoles","Jueves","Viernes","Sábado","Domingo"},0)-1)</f>
        <v/>
      </c>
    </row>
    <row r="467" customFormat="false" ht="15" hidden="false" customHeight="false" outlineLevel="0" collapsed="false">
      <c r="G467" s="23" t="str">
        <f aca="false">IF(OR(D467="",E467=""),"",E467*IFERROR(VLOOKUP(F467,Perfil!$B$19:$C$24,2,0),1))</f>
        <v/>
      </c>
      <c r="H467" s="23" t="str">
        <f aca="false">IF(G467="","",G467/100*INDEX(Alimentos!$E$5:$E$40,MATCH($D467,Alimentos!$B$5:$B$40,0)))</f>
        <v/>
      </c>
      <c r="I467" s="23" t="str">
        <f aca="false">IF(G467="","",G467/100*INDEX(Alimentos!$F$5:$F$40,MATCH($D467,Alimentos!$B$5:$B$40,0)))</f>
        <v/>
      </c>
      <c r="J467" s="23" t="str">
        <f aca="false">IF(G467="","",G467/100*INDEX(Alimentos!$G$5:$G$40,MATCH($D467,Alimentos!$B$5:$B$40,0)))</f>
        <v/>
      </c>
      <c r="K467" s="23" t="str">
        <f aca="false">IF(G467="","",G467/100*INDEX(Alimentos!$H$5:$H$40,MATCH($D467,Alimentos!$B$5:$B$40,0)))</f>
        <v/>
      </c>
      <c r="L467" s="24" t="str">
        <f aca="false">IF(OR(A467="",B467=""),"",Perfil!$C$13+(A467-1)*7+MATCH(B467,{"Lunes","Martes","Miércoles","Jueves","Viernes","Sábado","Domingo"},0)-1)</f>
        <v/>
      </c>
    </row>
    <row r="468" customFormat="false" ht="15" hidden="false" customHeight="false" outlineLevel="0" collapsed="false">
      <c r="G468" s="23" t="str">
        <f aca="false">IF(OR(D468="",E468=""),"",E468*IFERROR(VLOOKUP(F468,Perfil!$B$19:$C$24,2,0),1))</f>
        <v/>
      </c>
      <c r="H468" s="23" t="str">
        <f aca="false">IF(G468="","",G468/100*INDEX(Alimentos!$E$5:$E$40,MATCH($D468,Alimentos!$B$5:$B$40,0)))</f>
        <v/>
      </c>
      <c r="I468" s="23" t="str">
        <f aca="false">IF(G468="","",G468/100*INDEX(Alimentos!$F$5:$F$40,MATCH($D468,Alimentos!$B$5:$B$40,0)))</f>
        <v/>
      </c>
      <c r="J468" s="23" t="str">
        <f aca="false">IF(G468="","",G468/100*INDEX(Alimentos!$G$5:$G$40,MATCH($D468,Alimentos!$B$5:$B$40,0)))</f>
        <v/>
      </c>
      <c r="K468" s="23" t="str">
        <f aca="false">IF(G468="","",G468/100*INDEX(Alimentos!$H$5:$H$40,MATCH($D468,Alimentos!$B$5:$B$40,0)))</f>
        <v/>
      </c>
      <c r="L468" s="24" t="str">
        <f aca="false">IF(OR(A468="",B468=""),"",Perfil!$C$13+(A468-1)*7+MATCH(B468,{"Lunes","Martes","Miércoles","Jueves","Viernes","Sábado","Domingo"},0)-1)</f>
        <v/>
      </c>
    </row>
    <row r="469" customFormat="false" ht="15" hidden="false" customHeight="false" outlineLevel="0" collapsed="false">
      <c r="G469" s="23" t="str">
        <f aca="false">IF(OR(D469="",E469=""),"",E469*IFERROR(VLOOKUP(F469,Perfil!$B$19:$C$24,2,0),1))</f>
        <v/>
      </c>
      <c r="H469" s="23" t="str">
        <f aca="false">IF(G469="","",G469/100*INDEX(Alimentos!$E$5:$E$40,MATCH($D469,Alimentos!$B$5:$B$40,0)))</f>
        <v/>
      </c>
      <c r="I469" s="23" t="str">
        <f aca="false">IF(G469="","",G469/100*INDEX(Alimentos!$F$5:$F$40,MATCH($D469,Alimentos!$B$5:$B$40,0)))</f>
        <v/>
      </c>
      <c r="J469" s="23" t="str">
        <f aca="false">IF(G469="","",G469/100*INDEX(Alimentos!$G$5:$G$40,MATCH($D469,Alimentos!$B$5:$B$40,0)))</f>
        <v/>
      </c>
      <c r="K469" s="23" t="str">
        <f aca="false">IF(G469="","",G469/100*INDEX(Alimentos!$H$5:$H$40,MATCH($D469,Alimentos!$B$5:$B$40,0)))</f>
        <v/>
      </c>
      <c r="L469" s="24" t="str">
        <f aca="false">IF(OR(A469="",B469=""),"",Perfil!$C$13+(A469-1)*7+MATCH(B469,{"Lunes","Martes","Miércoles","Jueves","Viernes","Sábado","Domingo"},0)-1)</f>
        <v/>
      </c>
    </row>
    <row r="470" customFormat="false" ht="15" hidden="false" customHeight="false" outlineLevel="0" collapsed="false">
      <c r="G470" s="23" t="str">
        <f aca="false">IF(OR(D470="",E470=""),"",E470*IFERROR(VLOOKUP(F470,Perfil!$B$19:$C$24,2,0),1))</f>
        <v/>
      </c>
      <c r="H470" s="23" t="str">
        <f aca="false">IF(G470="","",G470/100*INDEX(Alimentos!$E$5:$E$40,MATCH($D470,Alimentos!$B$5:$B$40,0)))</f>
        <v/>
      </c>
      <c r="I470" s="23" t="str">
        <f aca="false">IF(G470="","",G470/100*INDEX(Alimentos!$F$5:$F$40,MATCH($D470,Alimentos!$B$5:$B$40,0)))</f>
        <v/>
      </c>
      <c r="J470" s="23" t="str">
        <f aca="false">IF(G470="","",G470/100*INDEX(Alimentos!$G$5:$G$40,MATCH($D470,Alimentos!$B$5:$B$40,0)))</f>
        <v/>
      </c>
      <c r="K470" s="23" t="str">
        <f aca="false">IF(G470="","",G470/100*INDEX(Alimentos!$H$5:$H$40,MATCH($D470,Alimentos!$B$5:$B$40,0)))</f>
        <v/>
      </c>
      <c r="L470" s="24" t="str">
        <f aca="false">IF(OR(A470="",B470=""),"",Perfil!$C$13+(A470-1)*7+MATCH(B470,{"Lunes","Martes","Miércoles","Jueves","Viernes","Sábado","Domingo"},0)-1)</f>
        <v/>
      </c>
    </row>
    <row r="471" customFormat="false" ht="15" hidden="false" customHeight="false" outlineLevel="0" collapsed="false">
      <c r="G471" s="23" t="str">
        <f aca="false">IF(OR(D471="",E471=""),"",E471*IFERROR(VLOOKUP(F471,Perfil!$B$19:$C$24,2,0),1))</f>
        <v/>
      </c>
      <c r="H471" s="23" t="str">
        <f aca="false">IF(G471="","",G471/100*INDEX(Alimentos!$E$5:$E$40,MATCH($D471,Alimentos!$B$5:$B$40,0)))</f>
        <v/>
      </c>
      <c r="I471" s="23" t="str">
        <f aca="false">IF(G471="","",G471/100*INDEX(Alimentos!$F$5:$F$40,MATCH($D471,Alimentos!$B$5:$B$40,0)))</f>
        <v/>
      </c>
      <c r="J471" s="23" t="str">
        <f aca="false">IF(G471="","",G471/100*INDEX(Alimentos!$G$5:$G$40,MATCH($D471,Alimentos!$B$5:$B$40,0)))</f>
        <v/>
      </c>
      <c r="K471" s="23" t="str">
        <f aca="false">IF(G471="","",G471/100*INDEX(Alimentos!$H$5:$H$40,MATCH($D471,Alimentos!$B$5:$B$40,0)))</f>
        <v/>
      </c>
      <c r="L471" s="24" t="str">
        <f aca="false">IF(OR(A471="",B471=""),"",Perfil!$C$13+(A471-1)*7+MATCH(B471,{"Lunes","Martes","Miércoles","Jueves","Viernes","Sábado","Domingo"},0)-1)</f>
        <v/>
      </c>
    </row>
    <row r="472" customFormat="false" ht="15" hidden="false" customHeight="false" outlineLevel="0" collapsed="false">
      <c r="G472" s="23" t="str">
        <f aca="false">IF(OR(D472="",E472=""),"",E472*IFERROR(VLOOKUP(F472,Perfil!$B$19:$C$24,2,0),1))</f>
        <v/>
      </c>
      <c r="H472" s="23" t="str">
        <f aca="false">IF(G472="","",G472/100*INDEX(Alimentos!$E$5:$E$40,MATCH($D472,Alimentos!$B$5:$B$40,0)))</f>
        <v/>
      </c>
      <c r="I472" s="23" t="str">
        <f aca="false">IF(G472="","",G472/100*INDEX(Alimentos!$F$5:$F$40,MATCH($D472,Alimentos!$B$5:$B$40,0)))</f>
        <v/>
      </c>
      <c r="J472" s="23" t="str">
        <f aca="false">IF(G472="","",G472/100*INDEX(Alimentos!$G$5:$G$40,MATCH($D472,Alimentos!$B$5:$B$40,0)))</f>
        <v/>
      </c>
      <c r="K472" s="23" t="str">
        <f aca="false">IF(G472="","",G472/100*INDEX(Alimentos!$H$5:$H$40,MATCH($D472,Alimentos!$B$5:$B$40,0)))</f>
        <v/>
      </c>
      <c r="L472" s="24" t="str">
        <f aca="false">IF(OR(A472="",B472=""),"",Perfil!$C$13+(A472-1)*7+MATCH(B472,{"Lunes","Martes","Miércoles","Jueves","Viernes","Sábado","Domingo"},0)-1)</f>
        <v/>
      </c>
    </row>
    <row r="473" customFormat="false" ht="15" hidden="false" customHeight="false" outlineLevel="0" collapsed="false">
      <c r="G473" s="23" t="str">
        <f aca="false">IF(OR(D473="",E473=""),"",E473*IFERROR(VLOOKUP(F473,Perfil!$B$19:$C$24,2,0),1))</f>
        <v/>
      </c>
      <c r="H473" s="23" t="str">
        <f aca="false">IF(G473="","",G473/100*INDEX(Alimentos!$E$5:$E$40,MATCH($D473,Alimentos!$B$5:$B$40,0)))</f>
        <v/>
      </c>
      <c r="I473" s="23" t="str">
        <f aca="false">IF(G473="","",G473/100*INDEX(Alimentos!$F$5:$F$40,MATCH($D473,Alimentos!$B$5:$B$40,0)))</f>
        <v/>
      </c>
      <c r="J473" s="23" t="str">
        <f aca="false">IF(G473="","",G473/100*INDEX(Alimentos!$G$5:$G$40,MATCH($D473,Alimentos!$B$5:$B$40,0)))</f>
        <v/>
      </c>
      <c r="K473" s="23" t="str">
        <f aca="false">IF(G473="","",G473/100*INDEX(Alimentos!$H$5:$H$40,MATCH($D473,Alimentos!$B$5:$B$40,0)))</f>
        <v/>
      </c>
      <c r="L473" s="24" t="str">
        <f aca="false">IF(OR(A473="",B473=""),"",Perfil!$C$13+(A473-1)*7+MATCH(B473,{"Lunes","Martes","Miércoles","Jueves","Viernes","Sábado","Domingo"},0)-1)</f>
        <v/>
      </c>
    </row>
    <row r="474" customFormat="false" ht="15" hidden="false" customHeight="false" outlineLevel="0" collapsed="false">
      <c r="G474" s="23" t="str">
        <f aca="false">IF(OR(D474="",E474=""),"",E474*IFERROR(VLOOKUP(F474,Perfil!$B$19:$C$24,2,0),1))</f>
        <v/>
      </c>
      <c r="H474" s="23" t="str">
        <f aca="false">IF(G474="","",G474/100*INDEX(Alimentos!$E$5:$E$40,MATCH($D474,Alimentos!$B$5:$B$40,0)))</f>
        <v/>
      </c>
      <c r="I474" s="23" t="str">
        <f aca="false">IF(G474="","",G474/100*INDEX(Alimentos!$F$5:$F$40,MATCH($D474,Alimentos!$B$5:$B$40,0)))</f>
        <v/>
      </c>
      <c r="J474" s="23" t="str">
        <f aca="false">IF(G474="","",G474/100*INDEX(Alimentos!$G$5:$G$40,MATCH($D474,Alimentos!$B$5:$B$40,0)))</f>
        <v/>
      </c>
      <c r="K474" s="23" t="str">
        <f aca="false">IF(G474="","",G474/100*INDEX(Alimentos!$H$5:$H$40,MATCH($D474,Alimentos!$B$5:$B$40,0)))</f>
        <v/>
      </c>
      <c r="L474" s="24" t="str">
        <f aca="false">IF(OR(A474="",B474=""),"",Perfil!$C$13+(A474-1)*7+MATCH(B474,{"Lunes","Martes","Miércoles","Jueves","Viernes","Sábado","Domingo"},0)-1)</f>
        <v/>
      </c>
    </row>
    <row r="475" customFormat="false" ht="15" hidden="false" customHeight="false" outlineLevel="0" collapsed="false">
      <c r="G475" s="23" t="str">
        <f aca="false">IF(OR(D475="",E475=""),"",E475*IFERROR(VLOOKUP(F475,Perfil!$B$19:$C$24,2,0),1))</f>
        <v/>
      </c>
      <c r="H475" s="23" t="str">
        <f aca="false">IF(G475="","",G475/100*INDEX(Alimentos!$E$5:$E$40,MATCH($D475,Alimentos!$B$5:$B$40,0)))</f>
        <v/>
      </c>
      <c r="I475" s="23" t="str">
        <f aca="false">IF(G475="","",G475/100*INDEX(Alimentos!$F$5:$F$40,MATCH($D475,Alimentos!$B$5:$B$40,0)))</f>
        <v/>
      </c>
      <c r="J475" s="23" t="str">
        <f aca="false">IF(G475="","",G475/100*INDEX(Alimentos!$G$5:$G$40,MATCH($D475,Alimentos!$B$5:$B$40,0)))</f>
        <v/>
      </c>
      <c r="K475" s="23" t="str">
        <f aca="false">IF(G475="","",G475/100*INDEX(Alimentos!$H$5:$H$40,MATCH($D475,Alimentos!$B$5:$B$40,0)))</f>
        <v/>
      </c>
      <c r="L475" s="24" t="str">
        <f aca="false">IF(OR(A475="",B475=""),"",Perfil!$C$13+(A475-1)*7+MATCH(B475,{"Lunes","Martes","Miércoles","Jueves","Viernes","Sábado","Domingo"},0)-1)</f>
        <v/>
      </c>
    </row>
    <row r="476" customFormat="false" ht="15" hidden="false" customHeight="false" outlineLevel="0" collapsed="false">
      <c r="G476" s="23" t="str">
        <f aca="false">IF(OR(D476="",E476=""),"",E476*IFERROR(VLOOKUP(F476,Perfil!$B$19:$C$24,2,0),1))</f>
        <v/>
      </c>
      <c r="H476" s="23" t="str">
        <f aca="false">IF(G476="","",G476/100*INDEX(Alimentos!$E$5:$E$40,MATCH($D476,Alimentos!$B$5:$B$40,0)))</f>
        <v/>
      </c>
      <c r="I476" s="23" t="str">
        <f aca="false">IF(G476="","",G476/100*INDEX(Alimentos!$F$5:$F$40,MATCH($D476,Alimentos!$B$5:$B$40,0)))</f>
        <v/>
      </c>
      <c r="J476" s="23" t="str">
        <f aca="false">IF(G476="","",G476/100*INDEX(Alimentos!$G$5:$G$40,MATCH($D476,Alimentos!$B$5:$B$40,0)))</f>
        <v/>
      </c>
      <c r="K476" s="23" t="str">
        <f aca="false">IF(G476="","",G476/100*INDEX(Alimentos!$H$5:$H$40,MATCH($D476,Alimentos!$B$5:$B$40,0)))</f>
        <v/>
      </c>
      <c r="L476" s="24" t="str">
        <f aca="false">IF(OR(A476="",B476=""),"",Perfil!$C$13+(A476-1)*7+MATCH(B476,{"Lunes","Martes","Miércoles","Jueves","Viernes","Sábado","Domingo"},0)-1)</f>
        <v/>
      </c>
    </row>
    <row r="477" customFormat="false" ht="15" hidden="false" customHeight="false" outlineLevel="0" collapsed="false">
      <c r="G477" s="23" t="str">
        <f aca="false">IF(OR(D477="",E477=""),"",E477*IFERROR(VLOOKUP(F477,Perfil!$B$19:$C$24,2,0),1))</f>
        <v/>
      </c>
      <c r="H477" s="23" t="str">
        <f aca="false">IF(G477="","",G477/100*INDEX(Alimentos!$E$5:$E$40,MATCH($D477,Alimentos!$B$5:$B$40,0)))</f>
        <v/>
      </c>
      <c r="I477" s="23" t="str">
        <f aca="false">IF(G477="","",G477/100*INDEX(Alimentos!$F$5:$F$40,MATCH($D477,Alimentos!$B$5:$B$40,0)))</f>
        <v/>
      </c>
      <c r="J477" s="23" t="str">
        <f aca="false">IF(G477="","",G477/100*INDEX(Alimentos!$G$5:$G$40,MATCH($D477,Alimentos!$B$5:$B$40,0)))</f>
        <v/>
      </c>
      <c r="K477" s="23" t="str">
        <f aca="false">IF(G477="","",G477/100*INDEX(Alimentos!$H$5:$H$40,MATCH($D477,Alimentos!$B$5:$B$40,0)))</f>
        <v/>
      </c>
      <c r="L477" s="24" t="str">
        <f aca="false">IF(OR(A477="",B477=""),"",Perfil!$C$13+(A477-1)*7+MATCH(B477,{"Lunes","Martes","Miércoles","Jueves","Viernes","Sábado","Domingo"},0)-1)</f>
        <v/>
      </c>
    </row>
    <row r="478" customFormat="false" ht="15" hidden="false" customHeight="false" outlineLevel="0" collapsed="false">
      <c r="G478" s="23" t="str">
        <f aca="false">IF(OR(D478="",E478=""),"",E478*IFERROR(VLOOKUP(F478,Perfil!$B$19:$C$24,2,0),1))</f>
        <v/>
      </c>
      <c r="H478" s="23" t="str">
        <f aca="false">IF(G478="","",G478/100*INDEX(Alimentos!$E$5:$E$40,MATCH($D478,Alimentos!$B$5:$B$40,0)))</f>
        <v/>
      </c>
      <c r="I478" s="23" t="str">
        <f aca="false">IF(G478="","",G478/100*INDEX(Alimentos!$F$5:$F$40,MATCH($D478,Alimentos!$B$5:$B$40,0)))</f>
        <v/>
      </c>
      <c r="J478" s="23" t="str">
        <f aca="false">IF(G478="","",G478/100*INDEX(Alimentos!$G$5:$G$40,MATCH($D478,Alimentos!$B$5:$B$40,0)))</f>
        <v/>
      </c>
      <c r="K478" s="23" t="str">
        <f aca="false">IF(G478="","",G478/100*INDEX(Alimentos!$H$5:$H$40,MATCH($D478,Alimentos!$B$5:$B$40,0)))</f>
        <v/>
      </c>
      <c r="L478" s="24" t="str">
        <f aca="false">IF(OR(A478="",B478=""),"",Perfil!$C$13+(A478-1)*7+MATCH(B478,{"Lunes","Martes","Miércoles","Jueves","Viernes","Sábado","Domingo"},0)-1)</f>
        <v/>
      </c>
    </row>
    <row r="479" customFormat="false" ht="15" hidden="false" customHeight="false" outlineLevel="0" collapsed="false">
      <c r="G479" s="23" t="str">
        <f aca="false">IF(OR(D479="",E479=""),"",E479*IFERROR(VLOOKUP(F479,Perfil!$B$19:$C$24,2,0),1))</f>
        <v/>
      </c>
      <c r="H479" s="23" t="str">
        <f aca="false">IF(G479="","",G479/100*INDEX(Alimentos!$E$5:$E$40,MATCH($D479,Alimentos!$B$5:$B$40,0)))</f>
        <v/>
      </c>
      <c r="I479" s="23" t="str">
        <f aca="false">IF(G479="","",G479/100*INDEX(Alimentos!$F$5:$F$40,MATCH($D479,Alimentos!$B$5:$B$40,0)))</f>
        <v/>
      </c>
      <c r="J479" s="23" t="str">
        <f aca="false">IF(G479="","",G479/100*INDEX(Alimentos!$G$5:$G$40,MATCH($D479,Alimentos!$B$5:$B$40,0)))</f>
        <v/>
      </c>
      <c r="K479" s="23" t="str">
        <f aca="false">IF(G479="","",G479/100*INDEX(Alimentos!$H$5:$H$40,MATCH($D479,Alimentos!$B$5:$B$40,0)))</f>
        <v/>
      </c>
      <c r="L479" s="24" t="str">
        <f aca="false">IF(OR(A479="",B479=""),"",Perfil!$C$13+(A479-1)*7+MATCH(B479,{"Lunes","Martes","Miércoles","Jueves","Viernes","Sábado","Domingo"},0)-1)</f>
        <v/>
      </c>
    </row>
    <row r="480" customFormat="false" ht="15" hidden="false" customHeight="false" outlineLevel="0" collapsed="false">
      <c r="G480" s="23" t="str">
        <f aca="false">IF(OR(D480="",E480=""),"",E480*IFERROR(VLOOKUP(F480,Perfil!$B$19:$C$24,2,0),1))</f>
        <v/>
      </c>
      <c r="H480" s="23" t="str">
        <f aca="false">IF(G480="","",G480/100*INDEX(Alimentos!$E$5:$E$40,MATCH($D480,Alimentos!$B$5:$B$40,0)))</f>
        <v/>
      </c>
      <c r="I480" s="23" t="str">
        <f aca="false">IF(G480="","",G480/100*INDEX(Alimentos!$F$5:$F$40,MATCH($D480,Alimentos!$B$5:$B$40,0)))</f>
        <v/>
      </c>
      <c r="J480" s="23" t="str">
        <f aca="false">IF(G480="","",G480/100*INDEX(Alimentos!$G$5:$G$40,MATCH($D480,Alimentos!$B$5:$B$40,0)))</f>
        <v/>
      </c>
      <c r="K480" s="23" t="str">
        <f aca="false">IF(G480="","",G480/100*INDEX(Alimentos!$H$5:$H$40,MATCH($D480,Alimentos!$B$5:$B$40,0)))</f>
        <v/>
      </c>
      <c r="L480" s="24" t="str">
        <f aca="false">IF(OR(A480="",B480=""),"",Perfil!$C$13+(A480-1)*7+MATCH(B480,{"Lunes","Martes","Miércoles","Jueves","Viernes","Sábado","Domingo"},0)-1)</f>
        <v/>
      </c>
    </row>
    <row r="481" customFormat="false" ht="15" hidden="false" customHeight="false" outlineLevel="0" collapsed="false">
      <c r="G481" s="23" t="str">
        <f aca="false">IF(OR(D481="",E481=""),"",E481*IFERROR(VLOOKUP(F481,Perfil!$B$19:$C$24,2,0),1))</f>
        <v/>
      </c>
      <c r="H481" s="23" t="str">
        <f aca="false">IF(G481="","",G481/100*INDEX(Alimentos!$E$5:$E$40,MATCH($D481,Alimentos!$B$5:$B$40,0)))</f>
        <v/>
      </c>
      <c r="I481" s="23" t="str">
        <f aca="false">IF(G481="","",G481/100*INDEX(Alimentos!$F$5:$F$40,MATCH($D481,Alimentos!$B$5:$B$40,0)))</f>
        <v/>
      </c>
      <c r="J481" s="23" t="str">
        <f aca="false">IF(G481="","",G481/100*INDEX(Alimentos!$G$5:$G$40,MATCH($D481,Alimentos!$B$5:$B$40,0)))</f>
        <v/>
      </c>
      <c r="K481" s="23" t="str">
        <f aca="false">IF(G481="","",G481/100*INDEX(Alimentos!$H$5:$H$40,MATCH($D481,Alimentos!$B$5:$B$40,0)))</f>
        <v/>
      </c>
      <c r="L481" s="24" t="str">
        <f aca="false">IF(OR(A481="",B481=""),"",Perfil!$C$13+(A481-1)*7+MATCH(B481,{"Lunes","Martes","Miércoles","Jueves","Viernes","Sábado","Domingo"},0)-1)</f>
        <v/>
      </c>
    </row>
    <row r="482" customFormat="false" ht="15" hidden="false" customHeight="false" outlineLevel="0" collapsed="false">
      <c r="G482" s="23" t="str">
        <f aca="false">IF(OR(D482="",E482=""),"",E482*IFERROR(VLOOKUP(F482,Perfil!$B$19:$C$24,2,0),1))</f>
        <v/>
      </c>
      <c r="H482" s="23" t="str">
        <f aca="false">IF(G482="","",G482/100*INDEX(Alimentos!$E$5:$E$40,MATCH($D482,Alimentos!$B$5:$B$40,0)))</f>
        <v/>
      </c>
      <c r="I482" s="23" t="str">
        <f aca="false">IF(G482="","",G482/100*INDEX(Alimentos!$F$5:$F$40,MATCH($D482,Alimentos!$B$5:$B$40,0)))</f>
        <v/>
      </c>
      <c r="J482" s="23" t="str">
        <f aca="false">IF(G482="","",G482/100*INDEX(Alimentos!$G$5:$G$40,MATCH($D482,Alimentos!$B$5:$B$40,0)))</f>
        <v/>
      </c>
      <c r="K482" s="23" t="str">
        <f aca="false">IF(G482="","",G482/100*INDEX(Alimentos!$H$5:$H$40,MATCH($D482,Alimentos!$B$5:$B$40,0)))</f>
        <v/>
      </c>
      <c r="L482" s="24" t="str">
        <f aca="false">IF(OR(A482="",B482=""),"",Perfil!$C$13+(A482-1)*7+MATCH(B482,{"Lunes","Martes","Miércoles","Jueves","Viernes","Sábado","Domingo"},0)-1)</f>
        <v/>
      </c>
    </row>
    <row r="483" customFormat="false" ht="15" hidden="false" customHeight="false" outlineLevel="0" collapsed="false">
      <c r="G483" s="23" t="str">
        <f aca="false">IF(OR(D483="",E483=""),"",E483*IFERROR(VLOOKUP(F483,Perfil!$B$19:$C$24,2,0),1))</f>
        <v/>
      </c>
      <c r="H483" s="23" t="str">
        <f aca="false">IF(G483="","",G483/100*INDEX(Alimentos!$E$5:$E$40,MATCH($D483,Alimentos!$B$5:$B$40,0)))</f>
        <v/>
      </c>
      <c r="I483" s="23" t="str">
        <f aca="false">IF(G483="","",G483/100*INDEX(Alimentos!$F$5:$F$40,MATCH($D483,Alimentos!$B$5:$B$40,0)))</f>
        <v/>
      </c>
      <c r="J483" s="23" t="str">
        <f aca="false">IF(G483="","",G483/100*INDEX(Alimentos!$G$5:$G$40,MATCH($D483,Alimentos!$B$5:$B$40,0)))</f>
        <v/>
      </c>
      <c r="K483" s="23" t="str">
        <f aca="false">IF(G483="","",G483/100*INDEX(Alimentos!$H$5:$H$40,MATCH($D483,Alimentos!$B$5:$B$40,0)))</f>
        <v/>
      </c>
      <c r="L483" s="24" t="str">
        <f aca="false">IF(OR(A483="",B483=""),"",Perfil!$C$13+(A483-1)*7+MATCH(B483,{"Lunes","Martes","Miércoles","Jueves","Viernes","Sábado","Domingo"},0)-1)</f>
        <v/>
      </c>
    </row>
    <row r="484" customFormat="false" ht="15" hidden="false" customHeight="false" outlineLevel="0" collapsed="false">
      <c r="G484" s="23" t="str">
        <f aca="false">IF(OR(D484="",E484=""),"",E484*IFERROR(VLOOKUP(F484,Perfil!$B$19:$C$24,2,0),1))</f>
        <v/>
      </c>
      <c r="H484" s="23" t="str">
        <f aca="false">IF(G484="","",G484/100*INDEX(Alimentos!$E$5:$E$40,MATCH($D484,Alimentos!$B$5:$B$40,0)))</f>
        <v/>
      </c>
      <c r="I484" s="23" t="str">
        <f aca="false">IF(G484="","",G484/100*INDEX(Alimentos!$F$5:$F$40,MATCH($D484,Alimentos!$B$5:$B$40,0)))</f>
        <v/>
      </c>
      <c r="J484" s="23" t="str">
        <f aca="false">IF(G484="","",G484/100*INDEX(Alimentos!$G$5:$G$40,MATCH($D484,Alimentos!$B$5:$B$40,0)))</f>
        <v/>
      </c>
      <c r="K484" s="23" t="str">
        <f aca="false">IF(G484="","",G484/100*INDEX(Alimentos!$H$5:$H$40,MATCH($D484,Alimentos!$B$5:$B$40,0)))</f>
        <v/>
      </c>
      <c r="L484" s="24" t="str">
        <f aca="false">IF(OR(A484="",B484=""),"",Perfil!$C$13+(A484-1)*7+MATCH(B484,{"Lunes","Martes","Miércoles","Jueves","Viernes","Sábado","Domingo"},0)-1)</f>
        <v/>
      </c>
    </row>
    <row r="485" customFormat="false" ht="15" hidden="false" customHeight="false" outlineLevel="0" collapsed="false">
      <c r="G485" s="23" t="str">
        <f aca="false">IF(OR(D485="",E485=""),"",E485*IFERROR(VLOOKUP(F485,Perfil!$B$19:$C$24,2,0),1))</f>
        <v/>
      </c>
      <c r="H485" s="23" t="str">
        <f aca="false">IF(G485="","",G485/100*INDEX(Alimentos!$E$5:$E$40,MATCH($D485,Alimentos!$B$5:$B$40,0)))</f>
        <v/>
      </c>
      <c r="I485" s="23" t="str">
        <f aca="false">IF(G485="","",G485/100*INDEX(Alimentos!$F$5:$F$40,MATCH($D485,Alimentos!$B$5:$B$40,0)))</f>
        <v/>
      </c>
      <c r="J485" s="23" t="str">
        <f aca="false">IF(G485="","",G485/100*INDEX(Alimentos!$G$5:$G$40,MATCH($D485,Alimentos!$B$5:$B$40,0)))</f>
        <v/>
      </c>
      <c r="K485" s="23" t="str">
        <f aca="false">IF(G485="","",G485/100*INDEX(Alimentos!$H$5:$H$40,MATCH($D485,Alimentos!$B$5:$B$40,0)))</f>
        <v/>
      </c>
      <c r="L485" s="24" t="str">
        <f aca="false">IF(OR(A485="",B485=""),"",Perfil!$C$13+(A485-1)*7+MATCH(B485,{"Lunes","Martes","Miércoles","Jueves","Viernes","Sábado","Domingo"},0)-1)</f>
        <v/>
      </c>
    </row>
    <row r="486" customFormat="false" ht="15" hidden="false" customHeight="false" outlineLevel="0" collapsed="false">
      <c r="G486" s="23" t="str">
        <f aca="false">IF(OR(D486="",E486=""),"",E486*IFERROR(VLOOKUP(F486,Perfil!$B$19:$C$24,2,0),1))</f>
        <v/>
      </c>
      <c r="H486" s="23" t="str">
        <f aca="false">IF(G486="","",G486/100*INDEX(Alimentos!$E$5:$E$40,MATCH($D486,Alimentos!$B$5:$B$40,0)))</f>
        <v/>
      </c>
      <c r="I486" s="23" t="str">
        <f aca="false">IF(G486="","",G486/100*INDEX(Alimentos!$F$5:$F$40,MATCH($D486,Alimentos!$B$5:$B$40,0)))</f>
        <v/>
      </c>
      <c r="J486" s="23" t="str">
        <f aca="false">IF(G486="","",G486/100*INDEX(Alimentos!$G$5:$G$40,MATCH($D486,Alimentos!$B$5:$B$40,0)))</f>
        <v/>
      </c>
      <c r="K486" s="23" t="str">
        <f aca="false">IF(G486="","",G486/100*INDEX(Alimentos!$H$5:$H$40,MATCH($D486,Alimentos!$B$5:$B$40,0)))</f>
        <v/>
      </c>
      <c r="L486" s="24" t="str">
        <f aca="false">IF(OR(A486="",B486=""),"",Perfil!$C$13+(A486-1)*7+MATCH(B486,{"Lunes","Martes","Miércoles","Jueves","Viernes","Sábado","Domingo"},0)-1)</f>
        <v/>
      </c>
    </row>
    <row r="487" customFormat="false" ht="15" hidden="false" customHeight="false" outlineLevel="0" collapsed="false">
      <c r="G487" s="23" t="str">
        <f aca="false">IF(OR(D487="",E487=""),"",E487*IFERROR(VLOOKUP(F487,Perfil!$B$19:$C$24,2,0),1))</f>
        <v/>
      </c>
      <c r="H487" s="23" t="str">
        <f aca="false">IF(G487="","",G487/100*INDEX(Alimentos!$E$5:$E$40,MATCH($D487,Alimentos!$B$5:$B$40,0)))</f>
        <v/>
      </c>
      <c r="I487" s="23" t="str">
        <f aca="false">IF(G487="","",G487/100*INDEX(Alimentos!$F$5:$F$40,MATCH($D487,Alimentos!$B$5:$B$40,0)))</f>
        <v/>
      </c>
      <c r="J487" s="23" t="str">
        <f aca="false">IF(G487="","",G487/100*INDEX(Alimentos!$G$5:$G$40,MATCH($D487,Alimentos!$B$5:$B$40,0)))</f>
        <v/>
      </c>
      <c r="K487" s="23" t="str">
        <f aca="false">IF(G487="","",G487/100*INDEX(Alimentos!$H$5:$H$40,MATCH($D487,Alimentos!$B$5:$B$40,0)))</f>
        <v/>
      </c>
      <c r="L487" s="24" t="str">
        <f aca="false">IF(OR(A487="",B487=""),"",Perfil!$C$13+(A487-1)*7+MATCH(B487,{"Lunes","Martes","Miércoles","Jueves","Viernes","Sábado","Domingo"},0)-1)</f>
        <v/>
      </c>
    </row>
    <row r="488" customFormat="false" ht="15" hidden="false" customHeight="false" outlineLevel="0" collapsed="false">
      <c r="G488" s="23" t="str">
        <f aca="false">IF(OR(D488="",E488=""),"",E488*IFERROR(VLOOKUP(F488,Perfil!$B$19:$C$24,2,0),1))</f>
        <v/>
      </c>
      <c r="H488" s="23" t="str">
        <f aca="false">IF(G488="","",G488/100*INDEX(Alimentos!$E$5:$E$40,MATCH($D488,Alimentos!$B$5:$B$40,0)))</f>
        <v/>
      </c>
      <c r="I488" s="23" t="str">
        <f aca="false">IF(G488="","",G488/100*INDEX(Alimentos!$F$5:$F$40,MATCH($D488,Alimentos!$B$5:$B$40,0)))</f>
        <v/>
      </c>
      <c r="J488" s="23" t="str">
        <f aca="false">IF(G488="","",G488/100*INDEX(Alimentos!$G$5:$G$40,MATCH($D488,Alimentos!$B$5:$B$40,0)))</f>
        <v/>
      </c>
      <c r="K488" s="23" t="str">
        <f aca="false">IF(G488="","",G488/100*INDEX(Alimentos!$H$5:$H$40,MATCH($D488,Alimentos!$B$5:$B$40,0)))</f>
        <v/>
      </c>
      <c r="L488" s="24" t="str">
        <f aca="false">IF(OR(A488="",B488=""),"",Perfil!$C$13+(A488-1)*7+MATCH(B488,{"Lunes","Martes","Miércoles","Jueves","Viernes","Sábado","Domingo"},0)-1)</f>
        <v/>
      </c>
    </row>
    <row r="489" customFormat="false" ht="15" hidden="false" customHeight="false" outlineLevel="0" collapsed="false">
      <c r="G489" s="23" t="str">
        <f aca="false">IF(OR(D489="",E489=""),"",E489*IFERROR(VLOOKUP(F489,Perfil!$B$19:$C$24,2,0),1))</f>
        <v/>
      </c>
      <c r="H489" s="23" t="str">
        <f aca="false">IF(G489="","",G489/100*INDEX(Alimentos!$E$5:$E$40,MATCH($D489,Alimentos!$B$5:$B$40,0)))</f>
        <v/>
      </c>
      <c r="I489" s="23" t="str">
        <f aca="false">IF(G489="","",G489/100*INDEX(Alimentos!$F$5:$F$40,MATCH($D489,Alimentos!$B$5:$B$40,0)))</f>
        <v/>
      </c>
      <c r="J489" s="23" t="str">
        <f aca="false">IF(G489="","",G489/100*INDEX(Alimentos!$G$5:$G$40,MATCH($D489,Alimentos!$B$5:$B$40,0)))</f>
        <v/>
      </c>
      <c r="K489" s="23" t="str">
        <f aca="false">IF(G489="","",G489/100*INDEX(Alimentos!$H$5:$H$40,MATCH($D489,Alimentos!$B$5:$B$40,0)))</f>
        <v/>
      </c>
      <c r="L489" s="24" t="str">
        <f aca="false">IF(OR(A489="",B489=""),"",Perfil!$C$13+(A489-1)*7+MATCH(B489,{"Lunes","Martes","Miércoles","Jueves","Viernes","Sábado","Domingo"},0)-1)</f>
        <v/>
      </c>
    </row>
    <row r="490" customFormat="false" ht="15" hidden="false" customHeight="false" outlineLevel="0" collapsed="false">
      <c r="G490" s="23" t="str">
        <f aca="false">IF(OR(D490="",E490=""),"",E490*IFERROR(VLOOKUP(F490,Perfil!$B$19:$C$24,2,0),1))</f>
        <v/>
      </c>
      <c r="H490" s="23" t="str">
        <f aca="false">IF(G490="","",G490/100*INDEX(Alimentos!$E$5:$E$40,MATCH($D490,Alimentos!$B$5:$B$40,0)))</f>
        <v/>
      </c>
      <c r="I490" s="23" t="str">
        <f aca="false">IF(G490="","",G490/100*INDEX(Alimentos!$F$5:$F$40,MATCH($D490,Alimentos!$B$5:$B$40,0)))</f>
        <v/>
      </c>
      <c r="J490" s="23" t="str">
        <f aca="false">IF(G490="","",G490/100*INDEX(Alimentos!$G$5:$G$40,MATCH($D490,Alimentos!$B$5:$B$40,0)))</f>
        <v/>
      </c>
      <c r="K490" s="23" t="str">
        <f aca="false">IF(G490="","",G490/100*INDEX(Alimentos!$H$5:$H$40,MATCH($D490,Alimentos!$B$5:$B$40,0)))</f>
        <v/>
      </c>
      <c r="L490" s="24" t="str">
        <f aca="false">IF(OR(A490="",B490=""),"",Perfil!$C$13+(A490-1)*7+MATCH(B490,{"Lunes","Martes","Miércoles","Jueves","Viernes","Sábado","Domingo"},0)-1)</f>
        <v/>
      </c>
    </row>
    <row r="491" customFormat="false" ht="15" hidden="false" customHeight="false" outlineLevel="0" collapsed="false">
      <c r="G491" s="23" t="str">
        <f aca="false">IF(OR(D491="",E491=""),"",E491*IFERROR(VLOOKUP(F491,Perfil!$B$19:$C$24,2,0),1))</f>
        <v/>
      </c>
      <c r="H491" s="23" t="str">
        <f aca="false">IF(G491="","",G491/100*INDEX(Alimentos!$E$5:$E$40,MATCH($D491,Alimentos!$B$5:$B$40,0)))</f>
        <v/>
      </c>
      <c r="I491" s="23" t="str">
        <f aca="false">IF(G491="","",G491/100*INDEX(Alimentos!$F$5:$F$40,MATCH($D491,Alimentos!$B$5:$B$40,0)))</f>
        <v/>
      </c>
      <c r="J491" s="23" t="str">
        <f aca="false">IF(G491="","",G491/100*INDEX(Alimentos!$G$5:$G$40,MATCH($D491,Alimentos!$B$5:$B$40,0)))</f>
        <v/>
      </c>
      <c r="K491" s="23" t="str">
        <f aca="false">IF(G491="","",G491/100*INDEX(Alimentos!$H$5:$H$40,MATCH($D491,Alimentos!$B$5:$B$40,0)))</f>
        <v/>
      </c>
      <c r="L491" s="24" t="str">
        <f aca="false">IF(OR(A491="",B491=""),"",Perfil!$C$13+(A491-1)*7+MATCH(B491,{"Lunes","Martes","Miércoles","Jueves","Viernes","Sábado","Domingo"},0)-1)</f>
        <v/>
      </c>
    </row>
    <row r="492" customFormat="false" ht="15" hidden="false" customHeight="false" outlineLevel="0" collapsed="false">
      <c r="G492" s="23" t="str">
        <f aca="false">IF(OR(D492="",E492=""),"",E492*IFERROR(VLOOKUP(F492,Perfil!$B$19:$C$24,2,0),1))</f>
        <v/>
      </c>
      <c r="H492" s="23" t="str">
        <f aca="false">IF(G492="","",G492/100*INDEX(Alimentos!$E$5:$E$40,MATCH($D492,Alimentos!$B$5:$B$40,0)))</f>
        <v/>
      </c>
      <c r="I492" s="23" t="str">
        <f aca="false">IF(G492="","",G492/100*INDEX(Alimentos!$F$5:$F$40,MATCH($D492,Alimentos!$B$5:$B$40,0)))</f>
        <v/>
      </c>
      <c r="J492" s="23" t="str">
        <f aca="false">IF(G492="","",G492/100*INDEX(Alimentos!$G$5:$G$40,MATCH($D492,Alimentos!$B$5:$B$40,0)))</f>
        <v/>
      </c>
      <c r="K492" s="23" t="str">
        <f aca="false">IF(G492="","",G492/100*INDEX(Alimentos!$H$5:$H$40,MATCH($D492,Alimentos!$B$5:$B$40,0)))</f>
        <v/>
      </c>
      <c r="L492" s="24" t="str">
        <f aca="false">IF(OR(A492="",B492=""),"",Perfil!$C$13+(A492-1)*7+MATCH(B492,{"Lunes","Martes","Miércoles","Jueves","Viernes","Sábado","Domingo"},0)-1)</f>
        <v/>
      </c>
    </row>
    <row r="493" customFormat="false" ht="15" hidden="false" customHeight="false" outlineLevel="0" collapsed="false">
      <c r="G493" s="23" t="str">
        <f aca="false">IF(OR(D493="",E493=""),"",E493*IFERROR(VLOOKUP(F493,Perfil!$B$19:$C$24,2,0),1))</f>
        <v/>
      </c>
      <c r="H493" s="23" t="str">
        <f aca="false">IF(G493="","",G493/100*INDEX(Alimentos!$E$5:$E$40,MATCH($D493,Alimentos!$B$5:$B$40,0)))</f>
        <v/>
      </c>
      <c r="I493" s="23" t="str">
        <f aca="false">IF(G493="","",G493/100*INDEX(Alimentos!$F$5:$F$40,MATCH($D493,Alimentos!$B$5:$B$40,0)))</f>
        <v/>
      </c>
      <c r="J493" s="23" t="str">
        <f aca="false">IF(G493="","",G493/100*INDEX(Alimentos!$G$5:$G$40,MATCH($D493,Alimentos!$B$5:$B$40,0)))</f>
        <v/>
      </c>
      <c r="K493" s="23" t="str">
        <f aca="false">IF(G493="","",G493/100*INDEX(Alimentos!$H$5:$H$40,MATCH($D493,Alimentos!$B$5:$B$40,0)))</f>
        <v/>
      </c>
      <c r="L493" s="24" t="str">
        <f aca="false">IF(OR(A493="",B493=""),"",Perfil!$C$13+(A493-1)*7+MATCH(B493,{"Lunes","Martes","Miércoles","Jueves","Viernes","Sábado","Domingo"},0)-1)</f>
        <v/>
      </c>
    </row>
    <row r="494" customFormat="false" ht="15" hidden="false" customHeight="false" outlineLevel="0" collapsed="false">
      <c r="G494" s="23" t="str">
        <f aca="false">IF(OR(D494="",E494=""),"",E494*IFERROR(VLOOKUP(F494,Perfil!$B$19:$C$24,2,0),1))</f>
        <v/>
      </c>
      <c r="H494" s="23" t="str">
        <f aca="false">IF(G494="","",G494/100*INDEX(Alimentos!$E$5:$E$40,MATCH($D494,Alimentos!$B$5:$B$40,0)))</f>
        <v/>
      </c>
      <c r="I494" s="23" t="str">
        <f aca="false">IF(G494="","",G494/100*INDEX(Alimentos!$F$5:$F$40,MATCH($D494,Alimentos!$B$5:$B$40,0)))</f>
        <v/>
      </c>
      <c r="J494" s="23" t="str">
        <f aca="false">IF(G494="","",G494/100*INDEX(Alimentos!$G$5:$G$40,MATCH($D494,Alimentos!$B$5:$B$40,0)))</f>
        <v/>
      </c>
      <c r="K494" s="23" t="str">
        <f aca="false">IF(G494="","",G494/100*INDEX(Alimentos!$H$5:$H$40,MATCH($D494,Alimentos!$B$5:$B$40,0)))</f>
        <v/>
      </c>
      <c r="L494" s="24" t="str">
        <f aca="false">IF(OR(A494="",B494=""),"",Perfil!$C$13+(A494-1)*7+MATCH(B494,{"Lunes","Martes","Miércoles","Jueves","Viernes","Sábado","Domingo"},0)-1)</f>
        <v/>
      </c>
    </row>
    <row r="495" customFormat="false" ht="15" hidden="false" customHeight="false" outlineLevel="0" collapsed="false">
      <c r="G495" s="23" t="str">
        <f aca="false">IF(OR(D495="",E495=""),"",E495*IFERROR(VLOOKUP(F495,Perfil!$B$19:$C$24,2,0),1))</f>
        <v/>
      </c>
      <c r="H495" s="23" t="str">
        <f aca="false">IF(G495="","",G495/100*INDEX(Alimentos!$E$5:$E$40,MATCH($D495,Alimentos!$B$5:$B$40,0)))</f>
        <v/>
      </c>
      <c r="I495" s="23" t="str">
        <f aca="false">IF(G495="","",G495/100*INDEX(Alimentos!$F$5:$F$40,MATCH($D495,Alimentos!$B$5:$B$40,0)))</f>
        <v/>
      </c>
      <c r="J495" s="23" t="str">
        <f aca="false">IF(G495="","",G495/100*INDEX(Alimentos!$G$5:$G$40,MATCH($D495,Alimentos!$B$5:$B$40,0)))</f>
        <v/>
      </c>
      <c r="K495" s="23" t="str">
        <f aca="false">IF(G495="","",G495/100*INDEX(Alimentos!$H$5:$H$40,MATCH($D495,Alimentos!$B$5:$B$40,0)))</f>
        <v/>
      </c>
      <c r="L495" s="24" t="str">
        <f aca="false">IF(OR(A495="",B495=""),"",Perfil!$C$13+(A495-1)*7+MATCH(B495,{"Lunes","Martes","Miércoles","Jueves","Viernes","Sábado","Domingo"},0)-1)</f>
        <v/>
      </c>
    </row>
    <row r="496" customFormat="false" ht="15" hidden="false" customHeight="false" outlineLevel="0" collapsed="false">
      <c r="G496" s="23" t="str">
        <f aca="false">IF(OR(D496="",E496=""),"",E496*IFERROR(VLOOKUP(F496,Perfil!$B$19:$C$24,2,0),1))</f>
        <v/>
      </c>
      <c r="H496" s="23" t="str">
        <f aca="false">IF(G496="","",G496/100*INDEX(Alimentos!$E$5:$E$40,MATCH($D496,Alimentos!$B$5:$B$40,0)))</f>
        <v/>
      </c>
      <c r="I496" s="23" t="str">
        <f aca="false">IF(G496="","",G496/100*INDEX(Alimentos!$F$5:$F$40,MATCH($D496,Alimentos!$B$5:$B$40,0)))</f>
        <v/>
      </c>
      <c r="J496" s="23" t="str">
        <f aca="false">IF(G496="","",G496/100*INDEX(Alimentos!$G$5:$G$40,MATCH($D496,Alimentos!$B$5:$B$40,0)))</f>
        <v/>
      </c>
      <c r="K496" s="23" t="str">
        <f aca="false">IF(G496="","",G496/100*INDEX(Alimentos!$H$5:$H$40,MATCH($D496,Alimentos!$B$5:$B$40,0)))</f>
        <v/>
      </c>
      <c r="L496" s="24" t="str">
        <f aca="false">IF(OR(A496="",B496=""),"",Perfil!$C$13+(A496-1)*7+MATCH(B496,{"Lunes","Martes","Miércoles","Jueves","Viernes","Sábado","Domingo"},0)-1)</f>
        <v/>
      </c>
    </row>
    <row r="497" customFormat="false" ht="15" hidden="false" customHeight="false" outlineLevel="0" collapsed="false">
      <c r="G497" s="23" t="str">
        <f aca="false">IF(OR(D497="",E497=""),"",E497*IFERROR(VLOOKUP(F497,Perfil!$B$19:$C$24,2,0),1))</f>
        <v/>
      </c>
      <c r="H497" s="23" t="str">
        <f aca="false">IF(G497="","",G497/100*INDEX(Alimentos!$E$5:$E$40,MATCH($D497,Alimentos!$B$5:$B$40,0)))</f>
        <v/>
      </c>
      <c r="I497" s="23" t="str">
        <f aca="false">IF(G497="","",G497/100*INDEX(Alimentos!$F$5:$F$40,MATCH($D497,Alimentos!$B$5:$B$40,0)))</f>
        <v/>
      </c>
      <c r="J497" s="23" t="str">
        <f aca="false">IF(G497="","",G497/100*INDEX(Alimentos!$G$5:$G$40,MATCH($D497,Alimentos!$B$5:$B$40,0)))</f>
        <v/>
      </c>
      <c r="K497" s="23" t="str">
        <f aca="false">IF(G497="","",G497/100*INDEX(Alimentos!$H$5:$H$40,MATCH($D497,Alimentos!$B$5:$B$40,0)))</f>
        <v/>
      </c>
      <c r="L497" s="24" t="str">
        <f aca="false">IF(OR(A497="",B497=""),"",Perfil!$C$13+(A497-1)*7+MATCH(B497,{"Lunes","Martes","Miércoles","Jueves","Viernes","Sábado","Domingo"},0)-1)</f>
        <v/>
      </c>
    </row>
    <row r="498" customFormat="false" ht="15" hidden="false" customHeight="false" outlineLevel="0" collapsed="false">
      <c r="G498" s="23" t="str">
        <f aca="false">IF(OR(D498="",E498=""),"",E498*IFERROR(VLOOKUP(F498,Perfil!$B$19:$C$24,2,0),1))</f>
        <v/>
      </c>
      <c r="H498" s="23" t="str">
        <f aca="false">IF(G498="","",G498/100*INDEX(Alimentos!$E$5:$E$40,MATCH($D498,Alimentos!$B$5:$B$40,0)))</f>
        <v/>
      </c>
      <c r="I498" s="23" t="str">
        <f aca="false">IF(G498="","",G498/100*INDEX(Alimentos!$F$5:$F$40,MATCH($D498,Alimentos!$B$5:$B$40,0)))</f>
        <v/>
      </c>
      <c r="J498" s="23" t="str">
        <f aca="false">IF(G498="","",G498/100*INDEX(Alimentos!$G$5:$G$40,MATCH($D498,Alimentos!$B$5:$B$40,0)))</f>
        <v/>
      </c>
      <c r="K498" s="23" t="str">
        <f aca="false">IF(G498="","",G498/100*INDEX(Alimentos!$H$5:$H$40,MATCH($D498,Alimentos!$B$5:$B$40,0)))</f>
        <v/>
      </c>
      <c r="L498" s="24" t="str">
        <f aca="false">IF(OR(A498="",B498=""),"",Perfil!$C$13+(A498-1)*7+MATCH(B498,{"Lunes","Martes","Miércoles","Jueves","Viernes","Sábado","Domingo"},0)-1)</f>
        <v/>
      </c>
    </row>
    <row r="499" customFormat="false" ht="15" hidden="false" customHeight="false" outlineLevel="0" collapsed="false">
      <c r="G499" s="23" t="str">
        <f aca="false">IF(OR(D499="",E499=""),"",E499*IFERROR(VLOOKUP(F499,Perfil!$B$19:$C$24,2,0),1))</f>
        <v/>
      </c>
      <c r="H499" s="23" t="str">
        <f aca="false">IF(G499="","",G499/100*INDEX(Alimentos!$E$5:$E$40,MATCH($D499,Alimentos!$B$5:$B$40,0)))</f>
        <v/>
      </c>
      <c r="I499" s="23" t="str">
        <f aca="false">IF(G499="","",G499/100*INDEX(Alimentos!$F$5:$F$40,MATCH($D499,Alimentos!$B$5:$B$40,0)))</f>
        <v/>
      </c>
      <c r="J499" s="23" t="str">
        <f aca="false">IF(G499="","",G499/100*INDEX(Alimentos!$G$5:$G$40,MATCH($D499,Alimentos!$B$5:$B$40,0)))</f>
        <v/>
      </c>
      <c r="K499" s="23" t="str">
        <f aca="false">IF(G499="","",G499/100*INDEX(Alimentos!$H$5:$H$40,MATCH($D499,Alimentos!$B$5:$B$40,0)))</f>
        <v/>
      </c>
      <c r="L499" s="24" t="str">
        <f aca="false">IF(OR(A499="",B499=""),"",Perfil!$C$13+(A499-1)*7+MATCH(B499,{"Lunes","Martes","Miércoles","Jueves","Viernes","Sábado","Domingo"},0)-1)</f>
        <v/>
      </c>
    </row>
    <row r="500" customFormat="false" ht="15" hidden="false" customHeight="false" outlineLevel="0" collapsed="false">
      <c r="G500" s="23" t="str">
        <f aca="false">IF(OR(D500="",E500=""),"",E500*IFERROR(VLOOKUP(F500,Perfil!$B$19:$C$24,2,0),1))</f>
        <v/>
      </c>
      <c r="H500" s="23" t="str">
        <f aca="false">IF(G500="","",G500/100*INDEX(Alimentos!$E$5:$E$40,MATCH($D500,Alimentos!$B$5:$B$40,0)))</f>
        <v/>
      </c>
      <c r="I500" s="23" t="str">
        <f aca="false">IF(G500="","",G500/100*INDEX(Alimentos!$F$5:$F$40,MATCH($D500,Alimentos!$B$5:$B$40,0)))</f>
        <v/>
      </c>
      <c r="J500" s="23" t="str">
        <f aca="false">IF(G500="","",G500/100*INDEX(Alimentos!$G$5:$G$40,MATCH($D500,Alimentos!$B$5:$B$40,0)))</f>
        <v/>
      </c>
      <c r="K500" s="23" t="str">
        <f aca="false">IF(G500="","",G500/100*INDEX(Alimentos!$H$5:$H$40,MATCH($D500,Alimentos!$B$5:$B$40,0)))</f>
        <v/>
      </c>
      <c r="L500" s="24" t="str">
        <f aca="false">IF(OR(A500="",B500=""),"",Perfil!$C$13+(A500-1)*7+MATCH(B500,{"Lunes","Martes","Miércoles","Jueves","Viernes","Sábado","Domingo"},0)-1)</f>
        <v/>
      </c>
    </row>
    <row r="501" customFormat="false" ht="15" hidden="false" customHeight="false" outlineLevel="0" collapsed="false">
      <c r="G501" s="23" t="str">
        <f aca="false">IF(OR(D501="",E501=""),"",E501*IFERROR(VLOOKUP(F501,Perfil!$B$19:$C$24,2,0),1))</f>
        <v/>
      </c>
      <c r="H501" s="23" t="str">
        <f aca="false">IF(G501="","",G501/100*INDEX(Alimentos!$E$5:$E$40,MATCH($D501,Alimentos!$B$5:$B$40,0)))</f>
        <v/>
      </c>
      <c r="I501" s="23" t="str">
        <f aca="false">IF(G501="","",G501/100*INDEX(Alimentos!$F$5:$F$40,MATCH($D501,Alimentos!$B$5:$B$40,0)))</f>
        <v/>
      </c>
      <c r="J501" s="23" t="str">
        <f aca="false">IF(G501="","",G501/100*INDEX(Alimentos!$G$5:$G$40,MATCH($D501,Alimentos!$B$5:$B$40,0)))</f>
        <v/>
      </c>
      <c r="K501" s="23" t="str">
        <f aca="false">IF(G501="","",G501/100*INDEX(Alimentos!$H$5:$H$40,MATCH($D501,Alimentos!$B$5:$B$40,0)))</f>
        <v/>
      </c>
      <c r="L501" s="24" t="str">
        <f aca="false">IF(OR(A501="",B501=""),"",Perfil!$C$13+(A501-1)*7+MATCH(B501,{"Lunes","Martes","Miércoles","Jueves","Viernes","Sábado","Domingo"},0)-1)</f>
        <v/>
      </c>
    </row>
    <row r="502" customFormat="false" ht="15" hidden="false" customHeight="false" outlineLevel="0" collapsed="false">
      <c r="G502" s="23" t="str">
        <f aca="false">IF(OR(D502="",E502=""),"",E502*IFERROR(VLOOKUP(F502,Perfil!$B$19:$C$24,2,0),1))</f>
        <v/>
      </c>
      <c r="H502" s="23" t="str">
        <f aca="false">IF(G502="","",G502/100*INDEX(Alimentos!$E$5:$E$40,MATCH($D502,Alimentos!$B$5:$B$40,0)))</f>
        <v/>
      </c>
      <c r="I502" s="23" t="str">
        <f aca="false">IF(G502="","",G502/100*INDEX(Alimentos!$F$5:$F$40,MATCH($D502,Alimentos!$B$5:$B$40,0)))</f>
        <v/>
      </c>
      <c r="J502" s="23" t="str">
        <f aca="false">IF(G502="","",G502/100*INDEX(Alimentos!$G$5:$G$40,MATCH($D502,Alimentos!$B$5:$B$40,0)))</f>
        <v/>
      </c>
      <c r="K502" s="23" t="str">
        <f aca="false">IF(G502="","",G502/100*INDEX(Alimentos!$H$5:$H$40,MATCH($D502,Alimentos!$B$5:$B$40,0)))</f>
        <v/>
      </c>
      <c r="L502" s="24" t="str">
        <f aca="false">IF(OR(A502="",B502=""),"",Perfil!$C$13+(A502-1)*7+MATCH(B502,{"Lunes","Martes","Miércoles","Jueves","Viernes","Sábado","Domingo"},0)-1)</f>
        <v/>
      </c>
    </row>
    <row r="503" customFormat="false" ht="15" hidden="false" customHeight="false" outlineLevel="0" collapsed="false">
      <c r="G503" s="23" t="str">
        <f aca="false">IF(OR(D503="",E503=""),"",E503*IFERROR(VLOOKUP(F503,Perfil!$B$19:$C$24,2,0),1))</f>
        <v/>
      </c>
      <c r="H503" s="23" t="str">
        <f aca="false">IF(G503="","",G503/100*INDEX(Alimentos!$E$5:$E$40,MATCH($D503,Alimentos!$B$5:$B$40,0)))</f>
        <v/>
      </c>
      <c r="I503" s="23" t="str">
        <f aca="false">IF(G503="","",G503/100*INDEX(Alimentos!$F$5:$F$40,MATCH($D503,Alimentos!$B$5:$B$40,0)))</f>
        <v/>
      </c>
      <c r="J503" s="23" t="str">
        <f aca="false">IF(G503="","",G503/100*INDEX(Alimentos!$G$5:$G$40,MATCH($D503,Alimentos!$B$5:$B$40,0)))</f>
        <v/>
      </c>
      <c r="K503" s="23" t="str">
        <f aca="false">IF(G503="","",G503/100*INDEX(Alimentos!$H$5:$H$40,MATCH($D503,Alimentos!$B$5:$B$40,0)))</f>
        <v/>
      </c>
      <c r="L503" s="24" t="str">
        <f aca="false">IF(OR(A503="",B503=""),"",Perfil!$C$13+(A503-1)*7+MATCH(B503,{"Lunes","Martes","Miércoles","Jueves","Viernes","Sábado","Domingo"},0)-1)</f>
        <v/>
      </c>
    </row>
    <row r="504" customFormat="false" ht="15" hidden="false" customHeight="false" outlineLevel="0" collapsed="false">
      <c r="G504" s="23" t="str">
        <f aca="false">IF(OR(D504="",E504=""),"",E504*IFERROR(VLOOKUP(F504,Perfil!$B$19:$C$24,2,0),1))</f>
        <v/>
      </c>
      <c r="H504" s="23" t="str">
        <f aca="false">IF(G504="","",G504/100*INDEX(Alimentos!$E$5:$E$40,MATCH($D504,Alimentos!$B$5:$B$40,0)))</f>
        <v/>
      </c>
      <c r="I504" s="23" t="str">
        <f aca="false">IF(G504="","",G504/100*INDEX(Alimentos!$F$5:$F$40,MATCH($D504,Alimentos!$B$5:$B$40,0)))</f>
        <v/>
      </c>
      <c r="J504" s="23" t="str">
        <f aca="false">IF(G504="","",G504/100*INDEX(Alimentos!$G$5:$G$40,MATCH($D504,Alimentos!$B$5:$B$40,0)))</f>
        <v/>
      </c>
      <c r="K504" s="23" t="str">
        <f aca="false">IF(G504="","",G504/100*INDEX(Alimentos!$H$5:$H$40,MATCH($D504,Alimentos!$B$5:$B$40,0)))</f>
        <v/>
      </c>
      <c r="L504" s="24" t="str">
        <f aca="false">IF(OR(A504="",B504=""),"",Perfil!$C$13+(A504-1)*7+MATCH(B504,{"Lunes","Martes","Miércoles","Jueves","Viernes","Sábado","Domingo"},0)-1)</f>
        <v/>
      </c>
    </row>
    <row r="505" customFormat="false" ht="15" hidden="false" customHeight="false" outlineLevel="0" collapsed="false">
      <c r="G505" s="23" t="str">
        <f aca="false">IF(OR(D505="",E505=""),"",E505*IFERROR(VLOOKUP(F505,Perfil!$B$19:$C$24,2,0),1))</f>
        <v/>
      </c>
      <c r="H505" s="23" t="str">
        <f aca="false">IF(G505="","",G505/100*INDEX(Alimentos!$E$5:$E$40,MATCH($D505,Alimentos!$B$5:$B$40,0)))</f>
        <v/>
      </c>
      <c r="I505" s="23" t="str">
        <f aca="false">IF(G505="","",G505/100*INDEX(Alimentos!$F$5:$F$40,MATCH($D505,Alimentos!$B$5:$B$40,0)))</f>
        <v/>
      </c>
      <c r="J505" s="23" t="str">
        <f aca="false">IF(G505="","",G505/100*INDEX(Alimentos!$G$5:$G$40,MATCH($D505,Alimentos!$B$5:$B$40,0)))</f>
        <v/>
      </c>
      <c r="K505" s="23" t="str">
        <f aca="false">IF(G505="","",G505/100*INDEX(Alimentos!$H$5:$H$40,MATCH($D505,Alimentos!$B$5:$B$40,0)))</f>
        <v/>
      </c>
      <c r="L505" s="24" t="str">
        <f aca="false">IF(OR(A505="",B505=""),"",Perfil!$C$13+(A505-1)*7+MATCH(B505,{"Lunes","Martes","Miércoles","Jueves","Viernes","Sábado","Domingo"},0)-1)</f>
        <v/>
      </c>
    </row>
    <row r="506" customFormat="false" ht="15" hidden="false" customHeight="false" outlineLevel="0" collapsed="false">
      <c r="G506" s="23" t="str">
        <f aca="false">IF(OR(D506="",E506=""),"",E506*IFERROR(VLOOKUP(F506,Perfil!$B$19:$C$24,2,0),1))</f>
        <v/>
      </c>
      <c r="H506" s="23" t="str">
        <f aca="false">IF(G506="","",G506/100*INDEX(Alimentos!$E$5:$E$40,MATCH($D506,Alimentos!$B$5:$B$40,0)))</f>
        <v/>
      </c>
      <c r="I506" s="23" t="str">
        <f aca="false">IF(G506="","",G506/100*INDEX(Alimentos!$F$5:$F$40,MATCH($D506,Alimentos!$B$5:$B$40,0)))</f>
        <v/>
      </c>
      <c r="J506" s="23" t="str">
        <f aca="false">IF(G506="","",G506/100*INDEX(Alimentos!$G$5:$G$40,MATCH($D506,Alimentos!$B$5:$B$40,0)))</f>
        <v/>
      </c>
      <c r="K506" s="23" t="str">
        <f aca="false">IF(G506="","",G506/100*INDEX(Alimentos!$H$5:$H$40,MATCH($D506,Alimentos!$B$5:$B$40,0)))</f>
        <v/>
      </c>
      <c r="L506" s="24" t="str">
        <f aca="false">IF(OR(A506="",B506=""),"",Perfil!$C$13+(A506-1)*7+MATCH(B506,{"Lunes","Martes","Miércoles","Jueves","Viernes","Sábado","Domingo"},0)-1)</f>
        <v/>
      </c>
    </row>
    <row r="507" customFormat="false" ht="15" hidden="false" customHeight="false" outlineLevel="0" collapsed="false">
      <c r="G507" s="23" t="str">
        <f aca="false">IF(OR(D507="",E507=""),"",E507*IFERROR(VLOOKUP(F507,Perfil!$B$19:$C$24,2,0),1))</f>
        <v/>
      </c>
      <c r="H507" s="23" t="str">
        <f aca="false">IF(G507="","",G507/100*INDEX(Alimentos!$E$5:$E$40,MATCH($D507,Alimentos!$B$5:$B$40,0)))</f>
        <v/>
      </c>
      <c r="I507" s="23" t="str">
        <f aca="false">IF(G507="","",G507/100*INDEX(Alimentos!$F$5:$F$40,MATCH($D507,Alimentos!$B$5:$B$40,0)))</f>
        <v/>
      </c>
      <c r="J507" s="23" t="str">
        <f aca="false">IF(G507="","",G507/100*INDEX(Alimentos!$G$5:$G$40,MATCH($D507,Alimentos!$B$5:$B$40,0)))</f>
        <v/>
      </c>
      <c r="K507" s="23" t="str">
        <f aca="false">IF(G507="","",G507/100*INDEX(Alimentos!$H$5:$H$40,MATCH($D507,Alimentos!$B$5:$B$40,0)))</f>
        <v/>
      </c>
      <c r="L507" s="24" t="str">
        <f aca="false">IF(OR(A507="",B507=""),"",Perfil!$C$13+(A507-1)*7+MATCH(B507,{"Lunes","Martes","Miércoles","Jueves","Viernes","Sábado","Domingo"},0)-1)</f>
        <v/>
      </c>
    </row>
    <row r="508" customFormat="false" ht="15" hidden="false" customHeight="false" outlineLevel="0" collapsed="false">
      <c r="G508" s="23" t="str">
        <f aca="false">IF(OR(D508="",E508=""),"",E508*IFERROR(VLOOKUP(F508,Perfil!$B$19:$C$24,2,0),1))</f>
        <v/>
      </c>
      <c r="H508" s="23" t="str">
        <f aca="false">IF(G508="","",G508/100*INDEX(Alimentos!$E$5:$E$40,MATCH($D508,Alimentos!$B$5:$B$40,0)))</f>
        <v/>
      </c>
      <c r="I508" s="23" t="str">
        <f aca="false">IF(G508="","",G508/100*INDEX(Alimentos!$F$5:$F$40,MATCH($D508,Alimentos!$B$5:$B$40,0)))</f>
        <v/>
      </c>
      <c r="J508" s="23" t="str">
        <f aca="false">IF(G508="","",G508/100*INDEX(Alimentos!$G$5:$G$40,MATCH($D508,Alimentos!$B$5:$B$40,0)))</f>
        <v/>
      </c>
      <c r="K508" s="23" t="str">
        <f aca="false">IF(G508="","",G508/100*INDEX(Alimentos!$H$5:$H$40,MATCH($D508,Alimentos!$B$5:$B$40,0)))</f>
        <v/>
      </c>
      <c r="L508" s="24" t="str">
        <f aca="false">IF(OR(A508="",B508=""),"",Perfil!$C$13+(A508-1)*7+MATCH(B508,{"Lunes","Martes","Miércoles","Jueves","Viernes","Sábado","Domingo"},0)-1)</f>
        <v/>
      </c>
    </row>
    <row r="509" customFormat="false" ht="15" hidden="false" customHeight="false" outlineLevel="0" collapsed="false">
      <c r="G509" s="23" t="str">
        <f aca="false">IF(OR(D509="",E509=""),"",E509*IFERROR(VLOOKUP(F509,Perfil!$B$19:$C$24,2,0),1))</f>
        <v/>
      </c>
      <c r="H509" s="23" t="str">
        <f aca="false">IF(G509="","",G509/100*INDEX(Alimentos!$E$5:$E$40,MATCH($D509,Alimentos!$B$5:$B$40,0)))</f>
        <v/>
      </c>
      <c r="I509" s="23" t="str">
        <f aca="false">IF(G509="","",G509/100*INDEX(Alimentos!$F$5:$F$40,MATCH($D509,Alimentos!$B$5:$B$40,0)))</f>
        <v/>
      </c>
      <c r="J509" s="23" t="str">
        <f aca="false">IF(G509="","",G509/100*INDEX(Alimentos!$G$5:$G$40,MATCH($D509,Alimentos!$B$5:$B$40,0)))</f>
        <v/>
      </c>
      <c r="K509" s="23" t="str">
        <f aca="false">IF(G509="","",G509/100*INDEX(Alimentos!$H$5:$H$40,MATCH($D509,Alimentos!$B$5:$B$40,0)))</f>
        <v/>
      </c>
      <c r="L509" s="24" t="str">
        <f aca="false">IF(OR(A509="",B509=""),"",Perfil!$C$13+(A509-1)*7+MATCH(B509,{"Lunes","Martes","Miércoles","Jueves","Viernes","Sábado","Domingo"},0)-1)</f>
        <v/>
      </c>
    </row>
    <row r="510" customFormat="false" ht="15" hidden="false" customHeight="false" outlineLevel="0" collapsed="false">
      <c r="G510" s="23" t="str">
        <f aca="false">IF(OR(D510="",E510=""),"",E510*IFERROR(VLOOKUP(F510,Perfil!$B$19:$C$24,2,0),1))</f>
        <v/>
      </c>
      <c r="H510" s="23" t="str">
        <f aca="false">IF(G510="","",G510/100*INDEX(Alimentos!$E$5:$E$40,MATCH($D510,Alimentos!$B$5:$B$40,0)))</f>
        <v/>
      </c>
      <c r="I510" s="23" t="str">
        <f aca="false">IF(G510="","",G510/100*INDEX(Alimentos!$F$5:$F$40,MATCH($D510,Alimentos!$B$5:$B$40,0)))</f>
        <v/>
      </c>
      <c r="J510" s="23" t="str">
        <f aca="false">IF(G510="","",G510/100*INDEX(Alimentos!$G$5:$G$40,MATCH($D510,Alimentos!$B$5:$B$40,0)))</f>
        <v/>
      </c>
      <c r="K510" s="23" t="str">
        <f aca="false">IF(G510="","",G510/100*INDEX(Alimentos!$H$5:$H$40,MATCH($D510,Alimentos!$B$5:$B$40,0)))</f>
        <v/>
      </c>
      <c r="L510" s="24" t="str">
        <f aca="false">IF(OR(A510="",B510=""),"",Perfil!$C$13+(A510-1)*7+MATCH(B510,{"Lunes","Martes","Miércoles","Jueves","Viernes","Sábado","Domingo"},0)-1)</f>
        <v/>
      </c>
    </row>
    <row r="511" customFormat="false" ht="15" hidden="false" customHeight="false" outlineLevel="0" collapsed="false">
      <c r="G511" s="23" t="str">
        <f aca="false">IF(OR(D511="",E511=""),"",E511*IFERROR(VLOOKUP(F511,Perfil!$B$19:$C$24,2,0),1))</f>
        <v/>
      </c>
      <c r="H511" s="23" t="str">
        <f aca="false">IF(G511="","",G511/100*INDEX(Alimentos!$E$5:$E$40,MATCH($D511,Alimentos!$B$5:$B$40,0)))</f>
        <v/>
      </c>
      <c r="I511" s="23" t="str">
        <f aca="false">IF(G511="","",G511/100*INDEX(Alimentos!$F$5:$F$40,MATCH($D511,Alimentos!$B$5:$B$40,0)))</f>
        <v/>
      </c>
      <c r="J511" s="23" t="str">
        <f aca="false">IF(G511="","",G511/100*INDEX(Alimentos!$G$5:$G$40,MATCH($D511,Alimentos!$B$5:$B$40,0)))</f>
        <v/>
      </c>
      <c r="K511" s="23" t="str">
        <f aca="false">IF(G511="","",G511/100*INDEX(Alimentos!$H$5:$H$40,MATCH($D511,Alimentos!$B$5:$B$40,0)))</f>
        <v/>
      </c>
      <c r="L511" s="24" t="str">
        <f aca="false">IF(OR(A511="",B511=""),"",Perfil!$C$13+(A511-1)*7+MATCH(B511,{"Lunes","Martes","Miércoles","Jueves","Viernes","Sábado","Domingo"},0)-1)</f>
        <v/>
      </c>
    </row>
    <row r="512" customFormat="false" ht="15" hidden="false" customHeight="false" outlineLevel="0" collapsed="false">
      <c r="G512" s="23" t="str">
        <f aca="false">IF(OR(D512="",E512=""),"",E512*IFERROR(VLOOKUP(F512,Perfil!$B$19:$C$24,2,0),1))</f>
        <v/>
      </c>
      <c r="H512" s="23" t="str">
        <f aca="false">IF(G512="","",G512/100*INDEX(Alimentos!$E$5:$E$40,MATCH($D512,Alimentos!$B$5:$B$40,0)))</f>
        <v/>
      </c>
      <c r="I512" s="23" t="str">
        <f aca="false">IF(G512="","",G512/100*INDEX(Alimentos!$F$5:$F$40,MATCH($D512,Alimentos!$B$5:$B$40,0)))</f>
        <v/>
      </c>
      <c r="J512" s="23" t="str">
        <f aca="false">IF(G512="","",G512/100*INDEX(Alimentos!$G$5:$G$40,MATCH($D512,Alimentos!$B$5:$B$40,0)))</f>
        <v/>
      </c>
      <c r="K512" s="23" t="str">
        <f aca="false">IF(G512="","",G512/100*INDEX(Alimentos!$H$5:$H$40,MATCH($D512,Alimentos!$B$5:$B$40,0)))</f>
        <v/>
      </c>
      <c r="L512" s="24" t="str">
        <f aca="false">IF(OR(A512="",B512=""),"",Perfil!$C$13+(A512-1)*7+MATCH(B512,{"Lunes","Martes","Miércoles","Jueves","Viernes","Sábado","Domingo"},0)-1)</f>
        <v/>
      </c>
    </row>
    <row r="513" customFormat="false" ht="15" hidden="false" customHeight="false" outlineLevel="0" collapsed="false">
      <c r="G513" s="23" t="str">
        <f aca="false">IF(OR(D513="",E513=""),"",E513*IFERROR(VLOOKUP(F513,Perfil!$B$19:$C$24,2,0),1))</f>
        <v/>
      </c>
      <c r="H513" s="23" t="str">
        <f aca="false">IF(G513="","",G513/100*INDEX(Alimentos!$E$5:$E$40,MATCH($D513,Alimentos!$B$5:$B$40,0)))</f>
        <v/>
      </c>
      <c r="I513" s="23" t="str">
        <f aca="false">IF(G513="","",G513/100*INDEX(Alimentos!$F$5:$F$40,MATCH($D513,Alimentos!$B$5:$B$40,0)))</f>
        <v/>
      </c>
      <c r="J513" s="23" t="str">
        <f aca="false">IF(G513="","",G513/100*INDEX(Alimentos!$G$5:$G$40,MATCH($D513,Alimentos!$B$5:$B$40,0)))</f>
        <v/>
      </c>
      <c r="K513" s="23" t="str">
        <f aca="false">IF(G513="","",G513/100*INDEX(Alimentos!$H$5:$H$40,MATCH($D513,Alimentos!$B$5:$B$40,0)))</f>
        <v/>
      </c>
      <c r="L513" s="24" t="str">
        <f aca="false">IF(OR(A513="",B513=""),"",Perfil!$C$13+(A513-1)*7+MATCH(B513,{"Lunes","Martes","Miércoles","Jueves","Viernes","Sábado","Domingo"},0)-1)</f>
        <v/>
      </c>
    </row>
    <row r="514" customFormat="false" ht="15" hidden="false" customHeight="false" outlineLevel="0" collapsed="false">
      <c r="G514" s="23" t="str">
        <f aca="false">IF(OR(D514="",E514=""),"",E514*IFERROR(VLOOKUP(F514,Perfil!$B$19:$C$24,2,0),1))</f>
        <v/>
      </c>
      <c r="H514" s="23" t="str">
        <f aca="false">IF(G514="","",G514/100*INDEX(Alimentos!$E$5:$E$40,MATCH($D514,Alimentos!$B$5:$B$40,0)))</f>
        <v/>
      </c>
      <c r="I514" s="23" t="str">
        <f aca="false">IF(G514="","",G514/100*INDEX(Alimentos!$F$5:$F$40,MATCH($D514,Alimentos!$B$5:$B$40,0)))</f>
        <v/>
      </c>
      <c r="J514" s="23" t="str">
        <f aca="false">IF(G514="","",G514/100*INDEX(Alimentos!$G$5:$G$40,MATCH($D514,Alimentos!$B$5:$B$40,0)))</f>
        <v/>
      </c>
      <c r="K514" s="23" t="str">
        <f aca="false">IF(G514="","",G514/100*INDEX(Alimentos!$H$5:$H$40,MATCH($D514,Alimentos!$B$5:$B$40,0)))</f>
        <v/>
      </c>
      <c r="L514" s="24" t="str">
        <f aca="false">IF(OR(A514="",B514=""),"",Perfil!$C$13+(A514-1)*7+MATCH(B514,{"Lunes","Martes","Miércoles","Jueves","Viernes","Sábado","Domingo"},0)-1)</f>
        <v/>
      </c>
    </row>
    <row r="515" customFormat="false" ht="15" hidden="false" customHeight="false" outlineLevel="0" collapsed="false">
      <c r="G515" s="23" t="str">
        <f aca="false">IF(OR(D515="",E515=""),"",E515*IFERROR(VLOOKUP(F515,Perfil!$B$19:$C$24,2,0),1))</f>
        <v/>
      </c>
      <c r="H515" s="23" t="str">
        <f aca="false">IF(G515="","",G515/100*INDEX(Alimentos!$E$5:$E$40,MATCH($D515,Alimentos!$B$5:$B$40,0)))</f>
        <v/>
      </c>
      <c r="I515" s="23" t="str">
        <f aca="false">IF(G515="","",G515/100*INDEX(Alimentos!$F$5:$F$40,MATCH($D515,Alimentos!$B$5:$B$40,0)))</f>
        <v/>
      </c>
      <c r="J515" s="23" t="str">
        <f aca="false">IF(G515="","",G515/100*INDEX(Alimentos!$G$5:$G$40,MATCH($D515,Alimentos!$B$5:$B$40,0)))</f>
        <v/>
      </c>
      <c r="K515" s="23" t="str">
        <f aca="false">IF(G515="","",G515/100*INDEX(Alimentos!$H$5:$H$40,MATCH($D515,Alimentos!$B$5:$B$40,0)))</f>
        <v/>
      </c>
      <c r="L515" s="24" t="str">
        <f aca="false">IF(OR(A515="",B515=""),"",Perfil!$C$13+(A515-1)*7+MATCH(B515,{"Lunes","Martes","Miércoles","Jueves","Viernes","Sábado","Domingo"},0)-1)</f>
        <v/>
      </c>
    </row>
    <row r="516" customFormat="false" ht="15" hidden="false" customHeight="false" outlineLevel="0" collapsed="false">
      <c r="G516" s="23" t="str">
        <f aca="false">IF(OR(D516="",E516=""),"",E516*IFERROR(VLOOKUP(F516,Perfil!$B$19:$C$24,2,0),1))</f>
        <v/>
      </c>
      <c r="H516" s="23" t="str">
        <f aca="false">IF(G516="","",G516/100*INDEX(Alimentos!$E$5:$E$40,MATCH($D516,Alimentos!$B$5:$B$40,0)))</f>
        <v/>
      </c>
      <c r="I516" s="23" t="str">
        <f aca="false">IF(G516="","",G516/100*INDEX(Alimentos!$F$5:$F$40,MATCH($D516,Alimentos!$B$5:$B$40,0)))</f>
        <v/>
      </c>
      <c r="J516" s="23" t="str">
        <f aca="false">IF(G516="","",G516/100*INDEX(Alimentos!$G$5:$G$40,MATCH($D516,Alimentos!$B$5:$B$40,0)))</f>
        <v/>
      </c>
      <c r="K516" s="23" t="str">
        <f aca="false">IF(G516="","",G516/100*INDEX(Alimentos!$H$5:$H$40,MATCH($D516,Alimentos!$B$5:$B$40,0)))</f>
        <v/>
      </c>
      <c r="L516" s="24" t="str">
        <f aca="false">IF(OR(A516="",B516=""),"",Perfil!$C$13+(A516-1)*7+MATCH(B516,{"Lunes","Martes","Miércoles","Jueves","Viernes","Sábado","Domingo"},0)-1)</f>
        <v/>
      </c>
    </row>
    <row r="517" customFormat="false" ht="15" hidden="false" customHeight="false" outlineLevel="0" collapsed="false">
      <c r="G517" s="23" t="str">
        <f aca="false">IF(OR(D517="",E517=""),"",E517*IFERROR(VLOOKUP(F517,Perfil!$B$19:$C$24,2,0),1))</f>
        <v/>
      </c>
      <c r="H517" s="23" t="str">
        <f aca="false">IF(G517="","",G517/100*INDEX(Alimentos!$E$5:$E$40,MATCH($D517,Alimentos!$B$5:$B$40,0)))</f>
        <v/>
      </c>
      <c r="I517" s="23" t="str">
        <f aca="false">IF(G517="","",G517/100*INDEX(Alimentos!$F$5:$F$40,MATCH($D517,Alimentos!$B$5:$B$40,0)))</f>
        <v/>
      </c>
      <c r="J517" s="23" t="str">
        <f aca="false">IF(G517="","",G517/100*INDEX(Alimentos!$G$5:$G$40,MATCH($D517,Alimentos!$B$5:$B$40,0)))</f>
        <v/>
      </c>
      <c r="K517" s="23" t="str">
        <f aca="false">IF(G517="","",G517/100*INDEX(Alimentos!$H$5:$H$40,MATCH($D517,Alimentos!$B$5:$B$40,0)))</f>
        <v/>
      </c>
      <c r="L517" s="24" t="str">
        <f aca="false">IF(OR(A517="",B517=""),"",Perfil!$C$13+(A517-1)*7+MATCH(B517,{"Lunes","Martes","Miércoles","Jueves","Viernes","Sábado","Domingo"},0)-1)</f>
        <v/>
      </c>
    </row>
    <row r="518" customFormat="false" ht="15" hidden="false" customHeight="false" outlineLevel="0" collapsed="false">
      <c r="G518" s="23" t="str">
        <f aca="false">IF(OR(D518="",E518=""),"",E518*IFERROR(VLOOKUP(F518,Perfil!$B$19:$C$24,2,0),1))</f>
        <v/>
      </c>
      <c r="H518" s="23" t="str">
        <f aca="false">IF(G518="","",G518/100*INDEX(Alimentos!$E$5:$E$40,MATCH($D518,Alimentos!$B$5:$B$40,0)))</f>
        <v/>
      </c>
      <c r="I518" s="23" t="str">
        <f aca="false">IF(G518="","",G518/100*INDEX(Alimentos!$F$5:$F$40,MATCH($D518,Alimentos!$B$5:$B$40,0)))</f>
        <v/>
      </c>
      <c r="J518" s="23" t="str">
        <f aca="false">IF(G518="","",G518/100*INDEX(Alimentos!$G$5:$G$40,MATCH($D518,Alimentos!$B$5:$B$40,0)))</f>
        <v/>
      </c>
      <c r="K518" s="23" t="str">
        <f aca="false">IF(G518="","",G518/100*INDEX(Alimentos!$H$5:$H$40,MATCH($D518,Alimentos!$B$5:$B$40,0)))</f>
        <v/>
      </c>
      <c r="L518" s="24" t="str">
        <f aca="false">IF(OR(A518="",B518=""),"",Perfil!$C$13+(A518-1)*7+MATCH(B518,{"Lunes","Martes","Miércoles","Jueves","Viernes","Sábado","Domingo"},0)-1)</f>
        <v/>
      </c>
    </row>
    <row r="519" customFormat="false" ht="15" hidden="false" customHeight="false" outlineLevel="0" collapsed="false">
      <c r="G519" s="23" t="str">
        <f aca="false">IF(OR(D519="",E519=""),"",E519*IFERROR(VLOOKUP(F519,Perfil!$B$19:$C$24,2,0),1))</f>
        <v/>
      </c>
      <c r="H519" s="23" t="str">
        <f aca="false">IF(G519="","",G519/100*INDEX(Alimentos!$E$5:$E$40,MATCH($D519,Alimentos!$B$5:$B$40,0)))</f>
        <v/>
      </c>
      <c r="I519" s="23" t="str">
        <f aca="false">IF(G519="","",G519/100*INDEX(Alimentos!$F$5:$F$40,MATCH($D519,Alimentos!$B$5:$B$40,0)))</f>
        <v/>
      </c>
      <c r="J519" s="23" t="str">
        <f aca="false">IF(G519="","",G519/100*INDEX(Alimentos!$G$5:$G$40,MATCH($D519,Alimentos!$B$5:$B$40,0)))</f>
        <v/>
      </c>
      <c r="K519" s="23" t="str">
        <f aca="false">IF(G519="","",G519/100*INDEX(Alimentos!$H$5:$H$40,MATCH($D519,Alimentos!$B$5:$B$40,0)))</f>
        <v/>
      </c>
      <c r="L519" s="24" t="str">
        <f aca="false">IF(OR(A519="",B519=""),"",Perfil!$C$13+(A519-1)*7+MATCH(B519,{"Lunes","Martes","Miércoles","Jueves","Viernes","Sábado","Domingo"},0)-1)</f>
        <v/>
      </c>
    </row>
    <row r="520" customFormat="false" ht="15" hidden="false" customHeight="false" outlineLevel="0" collapsed="false">
      <c r="G520" s="23" t="str">
        <f aca="false">IF(OR(D520="",E520=""),"",E520*IFERROR(VLOOKUP(F520,Perfil!$B$19:$C$24,2,0),1))</f>
        <v/>
      </c>
      <c r="H520" s="23" t="str">
        <f aca="false">IF(G520="","",G520/100*INDEX(Alimentos!$E$5:$E$40,MATCH($D520,Alimentos!$B$5:$B$40,0)))</f>
        <v/>
      </c>
      <c r="I520" s="23" t="str">
        <f aca="false">IF(G520="","",G520/100*INDEX(Alimentos!$F$5:$F$40,MATCH($D520,Alimentos!$B$5:$B$40,0)))</f>
        <v/>
      </c>
      <c r="J520" s="23" t="str">
        <f aca="false">IF(G520="","",G520/100*INDEX(Alimentos!$G$5:$G$40,MATCH($D520,Alimentos!$B$5:$B$40,0)))</f>
        <v/>
      </c>
      <c r="K520" s="23" t="str">
        <f aca="false">IF(G520="","",G520/100*INDEX(Alimentos!$H$5:$H$40,MATCH($D520,Alimentos!$B$5:$B$40,0)))</f>
        <v/>
      </c>
      <c r="L520" s="24" t="str">
        <f aca="false">IF(OR(A520="",B520=""),"",Perfil!$C$13+(A520-1)*7+MATCH(B520,{"Lunes","Martes","Miércoles","Jueves","Viernes","Sábado","Domingo"},0)-1)</f>
        <v/>
      </c>
    </row>
    <row r="521" customFormat="false" ht="15" hidden="false" customHeight="false" outlineLevel="0" collapsed="false">
      <c r="G521" s="23" t="str">
        <f aca="false">IF(OR(D521="",E521=""),"",E521*IFERROR(VLOOKUP(F521,Perfil!$B$19:$C$24,2,0),1))</f>
        <v/>
      </c>
      <c r="H521" s="23" t="str">
        <f aca="false">IF(G521="","",G521/100*INDEX(Alimentos!$E$5:$E$40,MATCH($D521,Alimentos!$B$5:$B$40,0)))</f>
        <v/>
      </c>
      <c r="I521" s="23" t="str">
        <f aca="false">IF(G521="","",G521/100*INDEX(Alimentos!$F$5:$F$40,MATCH($D521,Alimentos!$B$5:$B$40,0)))</f>
        <v/>
      </c>
      <c r="J521" s="23" t="str">
        <f aca="false">IF(G521="","",G521/100*INDEX(Alimentos!$G$5:$G$40,MATCH($D521,Alimentos!$B$5:$B$40,0)))</f>
        <v/>
      </c>
      <c r="K521" s="23" t="str">
        <f aca="false">IF(G521="","",G521/100*INDEX(Alimentos!$H$5:$H$40,MATCH($D521,Alimentos!$B$5:$B$40,0)))</f>
        <v/>
      </c>
      <c r="L521" s="24" t="str">
        <f aca="false">IF(OR(A521="",B521=""),"",Perfil!$C$13+(A521-1)*7+MATCH(B521,{"Lunes","Martes","Miércoles","Jueves","Viernes","Sábado","Domingo"},0)-1)</f>
        <v/>
      </c>
    </row>
    <row r="522" customFormat="false" ht="15" hidden="false" customHeight="false" outlineLevel="0" collapsed="false">
      <c r="G522" s="23" t="str">
        <f aca="false">IF(OR(D522="",E522=""),"",E522*IFERROR(VLOOKUP(F522,Perfil!$B$19:$C$24,2,0),1))</f>
        <v/>
      </c>
      <c r="H522" s="23" t="str">
        <f aca="false">IF(G522="","",G522/100*INDEX(Alimentos!$E$5:$E$40,MATCH($D522,Alimentos!$B$5:$B$40,0)))</f>
        <v/>
      </c>
      <c r="I522" s="23" t="str">
        <f aca="false">IF(G522="","",G522/100*INDEX(Alimentos!$F$5:$F$40,MATCH($D522,Alimentos!$B$5:$B$40,0)))</f>
        <v/>
      </c>
      <c r="J522" s="23" t="str">
        <f aca="false">IF(G522="","",G522/100*INDEX(Alimentos!$G$5:$G$40,MATCH($D522,Alimentos!$B$5:$B$40,0)))</f>
        <v/>
      </c>
      <c r="K522" s="23" t="str">
        <f aca="false">IF(G522="","",G522/100*INDEX(Alimentos!$H$5:$H$40,MATCH($D522,Alimentos!$B$5:$B$40,0)))</f>
        <v/>
      </c>
      <c r="L522" s="24" t="str">
        <f aca="false">IF(OR(A522="",B522=""),"",Perfil!$C$13+(A522-1)*7+MATCH(B522,{"Lunes","Martes","Miércoles","Jueves","Viernes","Sábado","Domingo"},0)-1)</f>
        <v/>
      </c>
    </row>
    <row r="523" customFormat="false" ht="15" hidden="false" customHeight="false" outlineLevel="0" collapsed="false">
      <c r="G523" s="23" t="str">
        <f aca="false">IF(OR(D523="",E523=""),"",E523*IFERROR(VLOOKUP(F523,Perfil!$B$19:$C$24,2,0),1))</f>
        <v/>
      </c>
      <c r="H523" s="23" t="str">
        <f aca="false">IF(G523="","",G523/100*INDEX(Alimentos!$E$5:$E$40,MATCH($D523,Alimentos!$B$5:$B$40,0)))</f>
        <v/>
      </c>
      <c r="I523" s="23" t="str">
        <f aca="false">IF(G523="","",G523/100*INDEX(Alimentos!$F$5:$F$40,MATCH($D523,Alimentos!$B$5:$B$40,0)))</f>
        <v/>
      </c>
      <c r="J523" s="23" t="str">
        <f aca="false">IF(G523="","",G523/100*INDEX(Alimentos!$G$5:$G$40,MATCH($D523,Alimentos!$B$5:$B$40,0)))</f>
        <v/>
      </c>
      <c r="K523" s="23" t="str">
        <f aca="false">IF(G523="","",G523/100*INDEX(Alimentos!$H$5:$H$40,MATCH($D523,Alimentos!$B$5:$B$40,0)))</f>
        <v/>
      </c>
      <c r="L523" s="24" t="str">
        <f aca="false">IF(OR(A523="",B523=""),"",Perfil!$C$13+(A523-1)*7+MATCH(B523,{"Lunes","Martes","Miércoles","Jueves","Viernes","Sábado","Domingo"},0)-1)</f>
        <v/>
      </c>
    </row>
    <row r="524" customFormat="false" ht="15" hidden="false" customHeight="false" outlineLevel="0" collapsed="false">
      <c r="G524" s="23" t="str">
        <f aca="false">IF(OR(D524="",E524=""),"",E524*IFERROR(VLOOKUP(F524,Perfil!$B$19:$C$24,2,0),1))</f>
        <v/>
      </c>
      <c r="H524" s="23" t="str">
        <f aca="false">IF(G524="","",G524/100*INDEX(Alimentos!$E$5:$E$40,MATCH($D524,Alimentos!$B$5:$B$40,0)))</f>
        <v/>
      </c>
      <c r="I524" s="23" t="str">
        <f aca="false">IF(G524="","",G524/100*INDEX(Alimentos!$F$5:$F$40,MATCH($D524,Alimentos!$B$5:$B$40,0)))</f>
        <v/>
      </c>
      <c r="J524" s="23" t="str">
        <f aca="false">IF(G524="","",G524/100*INDEX(Alimentos!$G$5:$G$40,MATCH($D524,Alimentos!$B$5:$B$40,0)))</f>
        <v/>
      </c>
      <c r="K524" s="23" t="str">
        <f aca="false">IF(G524="","",G524/100*INDEX(Alimentos!$H$5:$H$40,MATCH($D524,Alimentos!$B$5:$B$40,0)))</f>
        <v/>
      </c>
      <c r="L524" s="24" t="str">
        <f aca="false">IF(OR(A524="",B524=""),"",Perfil!$C$13+(A524-1)*7+MATCH(B524,{"Lunes","Martes","Miércoles","Jueves","Viernes","Sábado","Domingo"},0)-1)</f>
        <v/>
      </c>
    </row>
    <row r="525" customFormat="false" ht="15" hidden="false" customHeight="false" outlineLevel="0" collapsed="false">
      <c r="G525" s="23" t="str">
        <f aca="false">IF(OR(D525="",E525=""),"",E525*IFERROR(VLOOKUP(F525,Perfil!$B$19:$C$24,2,0),1))</f>
        <v/>
      </c>
      <c r="H525" s="23" t="str">
        <f aca="false">IF(G525="","",G525/100*INDEX(Alimentos!$E$5:$E$40,MATCH($D525,Alimentos!$B$5:$B$40,0)))</f>
        <v/>
      </c>
      <c r="I525" s="23" t="str">
        <f aca="false">IF(G525="","",G525/100*INDEX(Alimentos!$F$5:$F$40,MATCH($D525,Alimentos!$B$5:$B$40,0)))</f>
        <v/>
      </c>
      <c r="J525" s="23" t="str">
        <f aca="false">IF(G525="","",G525/100*INDEX(Alimentos!$G$5:$G$40,MATCH($D525,Alimentos!$B$5:$B$40,0)))</f>
        <v/>
      </c>
      <c r="K525" s="23" t="str">
        <f aca="false">IF(G525="","",G525/100*INDEX(Alimentos!$H$5:$H$40,MATCH($D525,Alimentos!$B$5:$B$40,0)))</f>
        <v/>
      </c>
      <c r="L525" s="24" t="str">
        <f aca="false">IF(OR(A525="",B525=""),"",Perfil!$C$13+(A525-1)*7+MATCH(B525,{"Lunes","Martes","Miércoles","Jueves","Viernes","Sábado","Domingo"},0)-1)</f>
        <v/>
      </c>
    </row>
    <row r="526" customFormat="false" ht="15" hidden="false" customHeight="false" outlineLevel="0" collapsed="false">
      <c r="G526" s="23" t="str">
        <f aca="false">IF(OR(D526="",E526=""),"",E526*IFERROR(VLOOKUP(F526,Perfil!$B$19:$C$24,2,0),1))</f>
        <v/>
      </c>
      <c r="H526" s="23" t="str">
        <f aca="false">IF(G526="","",G526/100*INDEX(Alimentos!$E$5:$E$40,MATCH($D526,Alimentos!$B$5:$B$40,0)))</f>
        <v/>
      </c>
      <c r="I526" s="23" t="str">
        <f aca="false">IF(G526="","",G526/100*INDEX(Alimentos!$F$5:$F$40,MATCH($D526,Alimentos!$B$5:$B$40,0)))</f>
        <v/>
      </c>
      <c r="J526" s="23" t="str">
        <f aca="false">IF(G526="","",G526/100*INDEX(Alimentos!$G$5:$G$40,MATCH($D526,Alimentos!$B$5:$B$40,0)))</f>
        <v/>
      </c>
      <c r="K526" s="23" t="str">
        <f aca="false">IF(G526="","",G526/100*INDEX(Alimentos!$H$5:$H$40,MATCH($D526,Alimentos!$B$5:$B$40,0)))</f>
        <v/>
      </c>
      <c r="L526" s="24" t="str">
        <f aca="false">IF(OR(A526="",B526=""),"",Perfil!$C$13+(A526-1)*7+MATCH(B526,{"Lunes","Martes","Miércoles","Jueves","Viernes","Sábado","Domingo"},0)-1)</f>
        <v/>
      </c>
    </row>
    <row r="527" customFormat="false" ht="15" hidden="false" customHeight="false" outlineLevel="0" collapsed="false">
      <c r="G527" s="23" t="str">
        <f aca="false">IF(OR(D527="",E527=""),"",E527*IFERROR(VLOOKUP(F527,Perfil!$B$19:$C$24,2,0),1))</f>
        <v/>
      </c>
      <c r="H527" s="23" t="str">
        <f aca="false">IF(G527="","",G527/100*INDEX(Alimentos!$E$5:$E$40,MATCH($D527,Alimentos!$B$5:$B$40,0)))</f>
        <v/>
      </c>
      <c r="I527" s="23" t="str">
        <f aca="false">IF(G527="","",G527/100*INDEX(Alimentos!$F$5:$F$40,MATCH($D527,Alimentos!$B$5:$B$40,0)))</f>
        <v/>
      </c>
      <c r="J527" s="23" t="str">
        <f aca="false">IF(G527="","",G527/100*INDEX(Alimentos!$G$5:$G$40,MATCH($D527,Alimentos!$B$5:$B$40,0)))</f>
        <v/>
      </c>
      <c r="K527" s="23" t="str">
        <f aca="false">IF(G527="","",G527/100*INDEX(Alimentos!$H$5:$H$40,MATCH($D527,Alimentos!$B$5:$B$40,0)))</f>
        <v/>
      </c>
      <c r="L527" s="24" t="str">
        <f aca="false">IF(OR(A527="",B527=""),"",Perfil!$C$13+(A527-1)*7+MATCH(B527,{"Lunes","Martes","Miércoles","Jueves","Viernes","Sábado","Domingo"},0)-1)</f>
        <v/>
      </c>
    </row>
    <row r="528" customFormat="false" ht="15" hidden="false" customHeight="false" outlineLevel="0" collapsed="false">
      <c r="G528" s="23" t="str">
        <f aca="false">IF(OR(D528="",E528=""),"",E528*IFERROR(VLOOKUP(F528,Perfil!$B$19:$C$24,2,0),1))</f>
        <v/>
      </c>
      <c r="H528" s="23" t="str">
        <f aca="false">IF(G528="","",G528/100*INDEX(Alimentos!$E$5:$E$40,MATCH($D528,Alimentos!$B$5:$B$40,0)))</f>
        <v/>
      </c>
      <c r="I528" s="23" t="str">
        <f aca="false">IF(G528="","",G528/100*INDEX(Alimentos!$F$5:$F$40,MATCH($D528,Alimentos!$B$5:$B$40,0)))</f>
        <v/>
      </c>
      <c r="J528" s="23" t="str">
        <f aca="false">IF(G528="","",G528/100*INDEX(Alimentos!$G$5:$G$40,MATCH($D528,Alimentos!$B$5:$B$40,0)))</f>
        <v/>
      </c>
      <c r="K528" s="23" t="str">
        <f aca="false">IF(G528="","",G528/100*INDEX(Alimentos!$H$5:$H$40,MATCH($D528,Alimentos!$B$5:$B$40,0)))</f>
        <v/>
      </c>
      <c r="L528" s="24" t="str">
        <f aca="false">IF(OR(A528="",B528=""),"",Perfil!$C$13+(A528-1)*7+MATCH(B528,{"Lunes","Martes","Miércoles","Jueves","Viernes","Sábado","Domingo"},0)-1)</f>
        <v/>
      </c>
    </row>
    <row r="529" customFormat="false" ht="15" hidden="false" customHeight="false" outlineLevel="0" collapsed="false">
      <c r="G529" s="23" t="str">
        <f aca="false">IF(OR(D529="",E529=""),"",E529*IFERROR(VLOOKUP(F529,Perfil!$B$19:$C$24,2,0),1))</f>
        <v/>
      </c>
      <c r="H529" s="23" t="str">
        <f aca="false">IF(G529="","",G529/100*INDEX(Alimentos!$E$5:$E$40,MATCH($D529,Alimentos!$B$5:$B$40,0)))</f>
        <v/>
      </c>
      <c r="I529" s="23" t="str">
        <f aca="false">IF(G529="","",G529/100*INDEX(Alimentos!$F$5:$F$40,MATCH($D529,Alimentos!$B$5:$B$40,0)))</f>
        <v/>
      </c>
      <c r="J529" s="23" t="str">
        <f aca="false">IF(G529="","",G529/100*INDEX(Alimentos!$G$5:$G$40,MATCH($D529,Alimentos!$B$5:$B$40,0)))</f>
        <v/>
      </c>
      <c r="K529" s="23" t="str">
        <f aca="false">IF(G529="","",G529/100*INDEX(Alimentos!$H$5:$H$40,MATCH($D529,Alimentos!$B$5:$B$40,0)))</f>
        <v/>
      </c>
      <c r="L529" s="24" t="str">
        <f aca="false">IF(OR(A529="",B529=""),"",Perfil!$C$13+(A529-1)*7+MATCH(B529,{"Lunes","Martes","Miércoles","Jueves","Viernes","Sábado","Domingo"},0)-1)</f>
        <v/>
      </c>
    </row>
    <row r="530" customFormat="false" ht="15" hidden="false" customHeight="false" outlineLevel="0" collapsed="false">
      <c r="G530" s="23" t="str">
        <f aca="false">IF(OR(D530="",E530=""),"",E530*IFERROR(VLOOKUP(F530,Perfil!$B$19:$C$24,2,0),1))</f>
        <v/>
      </c>
      <c r="H530" s="23" t="str">
        <f aca="false">IF(G530="","",G530/100*INDEX(Alimentos!$E$5:$E$40,MATCH($D530,Alimentos!$B$5:$B$40,0)))</f>
        <v/>
      </c>
      <c r="I530" s="23" t="str">
        <f aca="false">IF(G530="","",G530/100*INDEX(Alimentos!$F$5:$F$40,MATCH($D530,Alimentos!$B$5:$B$40,0)))</f>
        <v/>
      </c>
      <c r="J530" s="23" t="str">
        <f aca="false">IF(G530="","",G530/100*INDEX(Alimentos!$G$5:$G$40,MATCH($D530,Alimentos!$B$5:$B$40,0)))</f>
        <v/>
      </c>
      <c r="K530" s="23" t="str">
        <f aca="false">IF(G530="","",G530/100*INDEX(Alimentos!$H$5:$H$40,MATCH($D530,Alimentos!$B$5:$B$40,0)))</f>
        <v/>
      </c>
      <c r="L530" s="24" t="str">
        <f aca="false">IF(OR(A530="",B530=""),"",Perfil!$C$13+(A530-1)*7+MATCH(B530,{"Lunes","Martes","Miércoles","Jueves","Viernes","Sábado","Domingo"},0)-1)</f>
        <v/>
      </c>
    </row>
    <row r="531" customFormat="false" ht="15" hidden="false" customHeight="false" outlineLevel="0" collapsed="false">
      <c r="G531" s="23" t="str">
        <f aca="false">IF(OR(D531="",E531=""),"",E531*IFERROR(VLOOKUP(F531,Perfil!$B$19:$C$24,2,0),1))</f>
        <v/>
      </c>
      <c r="H531" s="23" t="str">
        <f aca="false">IF(G531="","",G531/100*INDEX(Alimentos!$E$5:$E$40,MATCH($D531,Alimentos!$B$5:$B$40,0)))</f>
        <v/>
      </c>
      <c r="I531" s="23" t="str">
        <f aca="false">IF(G531="","",G531/100*INDEX(Alimentos!$F$5:$F$40,MATCH($D531,Alimentos!$B$5:$B$40,0)))</f>
        <v/>
      </c>
      <c r="J531" s="23" t="str">
        <f aca="false">IF(G531="","",G531/100*INDEX(Alimentos!$G$5:$G$40,MATCH($D531,Alimentos!$B$5:$B$40,0)))</f>
        <v/>
      </c>
      <c r="K531" s="23" t="str">
        <f aca="false">IF(G531="","",G531/100*INDEX(Alimentos!$H$5:$H$40,MATCH($D531,Alimentos!$B$5:$B$40,0)))</f>
        <v/>
      </c>
      <c r="L531" s="24" t="str">
        <f aca="false">IF(OR(A531="",B531=""),"",Perfil!$C$13+(A531-1)*7+MATCH(B531,{"Lunes","Martes","Miércoles","Jueves","Viernes","Sábado","Domingo"},0)-1)</f>
        <v/>
      </c>
    </row>
    <row r="532" customFormat="false" ht="15" hidden="false" customHeight="false" outlineLevel="0" collapsed="false">
      <c r="G532" s="23" t="str">
        <f aca="false">IF(OR(D532="",E532=""),"",E532*IFERROR(VLOOKUP(F532,Perfil!$B$19:$C$24,2,0),1))</f>
        <v/>
      </c>
      <c r="H532" s="23" t="str">
        <f aca="false">IF(G532="","",G532/100*INDEX(Alimentos!$E$5:$E$40,MATCH($D532,Alimentos!$B$5:$B$40,0)))</f>
        <v/>
      </c>
      <c r="I532" s="23" t="str">
        <f aca="false">IF(G532="","",G532/100*INDEX(Alimentos!$F$5:$F$40,MATCH($D532,Alimentos!$B$5:$B$40,0)))</f>
        <v/>
      </c>
      <c r="J532" s="23" t="str">
        <f aca="false">IF(G532="","",G532/100*INDEX(Alimentos!$G$5:$G$40,MATCH($D532,Alimentos!$B$5:$B$40,0)))</f>
        <v/>
      </c>
      <c r="K532" s="23" t="str">
        <f aca="false">IF(G532="","",G532/100*INDEX(Alimentos!$H$5:$H$40,MATCH($D532,Alimentos!$B$5:$B$40,0)))</f>
        <v/>
      </c>
      <c r="L532" s="24" t="str">
        <f aca="false">IF(OR(A532="",B532=""),"",Perfil!$C$13+(A532-1)*7+MATCH(B532,{"Lunes","Martes","Miércoles","Jueves","Viernes","Sábado","Domingo"},0)-1)</f>
        <v/>
      </c>
    </row>
    <row r="533" customFormat="false" ht="15" hidden="false" customHeight="false" outlineLevel="0" collapsed="false">
      <c r="G533" s="23" t="str">
        <f aca="false">IF(OR(D533="",E533=""),"",E533*IFERROR(VLOOKUP(F533,Perfil!$B$19:$C$24,2,0),1))</f>
        <v/>
      </c>
      <c r="H533" s="23" t="str">
        <f aca="false">IF(G533="","",G533/100*INDEX(Alimentos!$E$5:$E$40,MATCH($D533,Alimentos!$B$5:$B$40,0)))</f>
        <v/>
      </c>
      <c r="I533" s="23" t="str">
        <f aca="false">IF(G533="","",G533/100*INDEX(Alimentos!$F$5:$F$40,MATCH($D533,Alimentos!$B$5:$B$40,0)))</f>
        <v/>
      </c>
      <c r="J533" s="23" t="str">
        <f aca="false">IF(G533="","",G533/100*INDEX(Alimentos!$G$5:$G$40,MATCH($D533,Alimentos!$B$5:$B$40,0)))</f>
        <v/>
      </c>
      <c r="K533" s="23" t="str">
        <f aca="false">IF(G533="","",G533/100*INDEX(Alimentos!$H$5:$H$40,MATCH($D533,Alimentos!$B$5:$B$40,0)))</f>
        <v/>
      </c>
      <c r="L533" s="24" t="str">
        <f aca="false">IF(OR(A533="",B533=""),"",Perfil!$C$13+(A533-1)*7+MATCH(B533,{"Lunes","Martes","Miércoles","Jueves","Viernes","Sábado","Domingo"},0)-1)</f>
        <v/>
      </c>
    </row>
    <row r="534" customFormat="false" ht="15" hidden="false" customHeight="false" outlineLevel="0" collapsed="false">
      <c r="G534" s="23" t="str">
        <f aca="false">IF(OR(D534="",E534=""),"",E534*IFERROR(VLOOKUP(F534,Perfil!$B$19:$C$24,2,0),1))</f>
        <v/>
      </c>
      <c r="H534" s="23" t="str">
        <f aca="false">IF(G534="","",G534/100*INDEX(Alimentos!$E$5:$E$40,MATCH($D534,Alimentos!$B$5:$B$40,0)))</f>
        <v/>
      </c>
      <c r="I534" s="23" t="str">
        <f aca="false">IF(G534="","",G534/100*INDEX(Alimentos!$F$5:$F$40,MATCH($D534,Alimentos!$B$5:$B$40,0)))</f>
        <v/>
      </c>
      <c r="J534" s="23" t="str">
        <f aca="false">IF(G534="","",G534/100*INDEX(Alimentos!$G$5:$G$40,MATCH($D534,Alimentos!$B$5:$B$40,0)))</f>
        <v/>
      </c>
      <c r="K534" s="23" t="str">
        <f aca="false">IF(G534="","",G534/100*INDEX(Alimentos!$H$5:$H$40,MATCH($D534,Alimentos!$B$5:$B$40,0)))</f>
        <v/>
      </c>
      <c r="L534" s="24" t="str">
        <f aca="false">IF(OR(A534="",B534=""),"",Perfil!$C$13+(A534-1)*7+MATCH(B534,{"Lunes","Martes","Miércoles","Jueves","Viernes","Sábado","Domingo"},0)-1)</f>
        <v/>
      </c>
    </row>
    <row r="535" customFormat="false" ht="15" hidden="false" customHeight="false" outlineLevel="0" collapsed="false">
      <c r="G535" s="23" t="str">
        <f aca="false">IF(OR(D535="",E535=""),"",E535*IFERROR(VLOOKUP(F535,Perfil!$B$19:$C$24,2,0),1))</f>
        <v/>
      </c>
      <c r="H535" s="23" t="str">
        <f aca="false">IF(G535="","",G535/100*INDEX(Alimentos!$E$5:$E$40,MATCH($D535,Alimentos!$B$5:$B$40,0)))</f>
        <v/>
      </c>
      <c r="I535" s="23" t="str">
        <f aca="false">IF(G535="","",G535/100*INDEX(Alimentos!$F$5:$F$40,MATCH($D535,Alimentos!$B$5:$B$40,0)))</f>
        <v/>
      </c>
      <c r="J535" s="23" t="str">
        <f aca="false">IF(G535="","",G535/100*INDEX(Alimentos!$G$5:$G$40,MATCH($D535,Alimentos!$B$5:$B$40,0)))</f>
        <v/>
      </c>
      <c r="K535" s="23" t="str">
        <f aca="false">IF(G535="","",G535/100*INDEX(Alimentos!$H$5:$H$40,MATCH($D535,Alimentos!$B$5:$B$40,0)))</f>
        <v/>
      </c>
      <c r="L535" s="24" t="str">
        <f aca="false">IF(OR(A535="",B535=""),"",Perfil!$C$13+(A535-1)*7+MATCH(B535,{"Lunes","Martes","Miércoles","Jueves","Viernes","Sábado","Domingo"},0)-1)</f>
        <v/>
      </c>
    </row>
    <row r="536" customFormat="false" ht="15" hidden="false" customHeight="false" outlineLevel="0" collapsed="false">
      <c r="G536" s="23" t="str">
        <f aca="false">IF(OR(D536="",E536=""),"",E536*IFERROR(VLOOKUP(F536,Perfil!$B$19:$C$24,2,0),1))</f>
        <v/>
      </c>
      <c r="H536" s="23" t="str">
        <f aca="false">IF(G536="","",G536/100*INDEX(Alimentos!$E$5:$E$40,MATCH($D536,Alimentos!$B$5:$B$40,0)))</f>
        <v/>
      </c>
      <c r="I536" s="23" t="str">
        <f aca="false">IF(G536="","",G536/100*INDEX(Alimentos!$F$5:$F$40,MATCH($D536,Alimentos!$B$5:$B$40,0)))</f>
        <v/>
      </c>
      <c r="J536" s="23" t="str">
        <f aca="false">IF(G536="","",G536/100*INDEX(Alimentos!$G$5:$G$40,MATCH($D536,Alimentos!$B$5:$B$40,0)))</f>
        <v/>
      </c>
      <c r="K536" s="23" t="str">
        <f aca="false">IF(G536="","",G536/100*INDEX(Alimentos!$H$5:$H$40,MATCH($D536,Alimentos!$B$5:$B$40,0)))</f>
        <v/>
      </c>
      <c r="L536" s="24" t="str">
        <f aca="false">IF(OR(A536="",B536=""),"",Perfil!$C$13+(A536-1)*7+MATCH(B536,{"Lunes","Martes","Miércoles","Jueves","Viernes","Sábado","Domingo"},0)-1)</f>
        <v/>
      </c>
    </row>
    <row r="537" customFormat="false" ht="15" hidden="false" customHeight="false" outlineLevel="0" collapsed="false">
      <c r="G537" s="23" t="str">
        <f aca="false">IF(OR(D537="",E537=""),"",E537*IFERROR(VLOOKUP(F537,Perfil!$B$19:$C$24,2,0),1))</f>
        <v/>
      </c>
      <c r="H537" s="23" t="str">
        <f aca="false">IF(G537="","",G537/100*INDEX(Alimentos!$E$5:$E$40,MATCH($D537,Alimentos!$B$5:$B$40,0)))</f>
        <v/>
      </c>
      <c r="I537" s="23" t="str">
        <f aca="false">IF(G537="","",G537/100*INDEX(Alimentos!$F$5:$F$40,MATCH($D537,Alimentos!$B$5:$B$40,0)))</f>
        <v/>
      </c>
      <c r="J537" s="23" t="str">
        <f aca="false">IF(G537="","",G537/100*INDEX(Alimentos!$G$5:$G$40,MATCH($D537,Alimentos!$B$5:$B$40,0)))</f>
        <v/>
      </c>
      <c r="K537" s="23" t="str">
        <f aca="false">IF(G537="","",G537/100*INDEX(Alimentos!$H$5:$H$40,MATCH($D537,Alimentos!$B$5:$B$40,0)))</f>
        <v/>
      </c>
      <c r="L537" s="24" t="str">
        <f aca="false">IF(OR(A537="",B537=""),"",Perfil!$C$13+(A537-1)*7+MATCH(B537,{"Lunes","Martes","Miércoles","Jueves","Viernes","Sábado","Domingo"},0)-1)</f>
        <v/>
      </c>
    </row>
    <row r="538" customFormat="false" ht="15" hidden="false" customHeight="false" outlineLevel="0" collapsed="false">
      <c r="G538" s="23" t="str">
        <f aca="false">IF(OR(D538="",E538=""),"",E538*IFERROR(VLOOKUP(F538,Perfil!$B$19:$C$24,2,0),1))</f>
        <v/>
      </c>
      <c r="H538" s="23" t="str">
        <f aca="false">IF(G538="","",G538/100*INDEX(Alimentos!$E$5:$E$40,MATCH($D538,Alimentos!$B$5:$B$40,0)))</f>
        <v/>
      </c>
      <c r="I538" s="23" t="str">
        <f aca="false">IF(G538="","",G538/100*INDEX(Alimentos!$F$5:$F$40,MATCH($D538,Alimentos!$B$5:$B$40,0)))</f>
        <v/>
      </c>
      <c r="J538" s="23" t="str">
        <f aca="false">IF(G538="","",G538/100*INDEX(Alimentos!$G$5:$G$40,MATCH($D538,Alimentos!$B$5:$B$40,0)))</f>
        <v/>
      </c>
      <c r="K538" s="23" t="str">
        <f aca="false">IF(G538="","",G538/100*INDEX(Alimentos!$H$5:$H$40,MATCH($D538,Alimentos!$B$5:$B$40,0)))</f>
        <v/>
      </c>
      <c r="L538" s="24" t="str">
        <f aca="false">IF(OR(A538="",B538=""),"",Perfil!$C$13+(A538-1)*7+MATCH(B538,{"Lunes","Martes","Miércoles","Jueves","Viernes","Sábado","Domingo"},0)-1)</f>
        <v/>
      </c>
    </row>
    <row r="539" customFormat="false" ht="15" hidden="false" customHeight="false" outlineLevel="0" collapsed="false">
      <c r="G539" s="23" t="str">
        <f aca="false">IF(OR(D539="",E539=""),"",E539*IFERROR(VLOOKUP(F539,Perfil!$B$19:$C$24,2,0),1))</f>
        <v/>
      </c>
      <c r="H539" s="23" t="str">
        <f aca="false">IF(G539="","",G539/100*INDEX(Alimentos!$E$5:$E$40,MATCH($D539,Alimentos!$B$5:$B$40,0)))</f>
        <v/>
      </c>
      <c r="I539" s="23" t="str">
        <f aca="false">IF(G539="","",G539/100*INDEX(Alimentos!$F$5:$F$40,MATCH($D539,Alimentos!$B$5:$B$40,0)))</f>
        <v/>
      </c>
      <c r="J539" s="23" t="str">
        <f aca="false">IF(G539="","",G539/100*INDEX(Alimentos!$G$5:$G$40,MATCH($D539,Alimentos!$B$5:$B$40,0)))</f>
        <v/>
      </c>
      <c r="K539" s="23" t="str">
        <f aca="false">IF(G539="","",G539/100*INDEX(Alimentos!$H$5:$H$40,MATCH($D539,Alimentos!$B$5:$B$40,0)))</f>
        <v/>
      </c>
      <c r="L539" s="24" t="str">
        <f aca="false">IF(OR(A539="",B539=""),"",Perfil!$C$13+(A539-1)*7+MATCH(B539,{"Lunes","Martes","Miércoles","Jueves","Viernes","Sábado","Domingo"},0)-1)</f>
        <v/>
      </c>
    </row>
    <row r="540" customFormat="false" ht="15" hidden="false" customHeight="false" outlineLevel="0" collapsed="false">
      <c r="G540" s="23" t="str">
        <f aca="false">IF(OR(D540="",E540=""),"",E540*IFERROR(VLOOKUP(F540,Perfil!$B$19:$C$24,2,0),1))</f>
        <v/>
      </c>
      <c r="H540" s="23" t="str">
        <f aca="false">IF(G540="","",G540/100*INDEX(Alimentos!$E$5:$E$40,MATCH($D540,Alimentos!$B$5:$B$40,0)))</f>
        <v/>
      </c>
      <c r="I540" s="23" t="str">
        <f aca="false">IF(G540="","",G540/100*INDEX(Alimentos!$F$5:$F$40,MATCH($D540,Alimentos!$B$5:$B$40,0)))</f>
        <v/>
      </c>
      <c r="J540" s="23" t="str">
        <f aca="false">IF(G540="","",G540/100*INDEX(Alimentos!$G$5:$G$40,MATCH($D540,Alimentos!$B$5:$B$40,0)))</f>
        <v/>
      </c>
      <c r="K540" s="23" t="str">
        <f aca="false">IF(G540="","",G540/100*INDEX(Alimentos!$H$5:$H$40,MATCH($D540,Alimentos!$B$5:$B$40,0)))</f>
        <v/>
      </c>
      <c r="L540" s="24" t="str">
        <f aca="false">IF(OR(A540="",B540=""),"",Perfil!$C$13+(A540-1)*7+MATCH(B540,{"Lunes","Martes","Miércoles","Jueves","Viernes","Sábado","Domingo"},0)-1)</f>
        <v/>
      </c>
    </row>
    <row r="541" customFormat="false" ht="15" hidden="false" customHeight="false" outlineLevel="0" collapsed="false">
      <c r="G541" s="23" t="str">
        <f aca="false">IF(OR(D541="",E541=""),"",E541*IFERROR(VLOOKUP(F541,Perfil!$B$19:$C$24,2,0),1))</f>
        <v/>
      </c>
      <c r="H541" s="23" t="str">
        <f aca="false">IF(G541="","",G541/100*INDEX(Alimentos!$E$5:$E$40,MATCH($D541,Alimentos!$B$5:$B$40,0)))</f>
        <v/>
      </c>
      <c r="I541" s="23" t="str">
        <f aca="false">IF(G541="","",G541/100*INDEX(Alimentos!$F$5:$F$40,MATCH($D541,Alimentos!$B$5:$B$40,0)))</f>
        <v/>
      </c>
      <c r="J541" s="23" t="str">
        <f aca="false">IF(G541="","",G541/100*INDEX(Alimentos!$G$5:$G$40,MATCH($D541,Alimentos!$B$5:$B$40,0)))</f>
        <v/>
      </c>
      <c r="K541" s="23" t="str">
        <f aca="false">IF(G541="","",G541/100*INDEX(Alimentos!$H$5:$H$40,MATCH($D541,Alimentos!$B$5:$B$40,0)))</f>
        <v/>
      </c>
      <c r="L541" s="24" t="str">
        <f aca="false">IF(OR(A541="",B541=""),"",Perfil!$C$13+(A541-1)*7+MATCH(B541,{"Lunes","Martes","Miércoles","Jueves","Viernes","Sábado","Domingo"},0)-1)</f>
        <v/>
      </c>
    </row>
    <row r="542" customFormat="false" ht="15" hidden="false" customHeight="false" outlineLevel="0" collapsed="false">
      <c r="G542" s="23" t="str">
        <f aca="false">IF(OR(D542="",E542=""),"",E542*IFERROR(VLOOKUP(F542,Perfil!$B$19:$C$24,2,0),1))</f>
        <v/>
      </c>
      <c r="H542" s="23" t="str">
        <f aca="false">IF(G542="","",G542/100*INDEX(Alimentos!$E$5:$E$40,MATCH($D542,Alimentos!$B$5:$B$40,0)))</f>
        <v/>
      </c>
      <c r="I542" s="23" t="str">
        <f aca="false">IF(G542="","",G542/100*INDEX(Alimentos!$F$5:$F$40,MATCH($D542,Alimentos!$B$5:$B$40,0)))</f>
        <v/>
      </c>
      <c r="J542" s="23" t="str">
        <f aca="false">IF(G542="","",G542/100*INDEX(Alimentos!$G$5:$G$40,MATCH($D542,Alimentos!$B$5:$B$40,0)))</f>
        <v/>
      </c>
      <c r="K542" s="23" t="str">
        <f aca="false">IF(G542="","",G542/100*INDEX(Alimentos!$H$5:$H$40,MATCH($D542,Alimentos!$B$5:$B$40,0)))</f>
        <v/>
      </c>
      <c r="L542" s="24" t="str">
        <f aca="false">IF(OR(A542="",B542=""),"",Perfil!$C$13+(A542-1)*7+MATCH(B542,{"Lunes","Martes","Miércoles","Jueves","Viernes","Sábado","Domingo"},0)-1)</f>
        <v/>
      </c>
    </row>
    <row r="543" customFormat="false" ht="15" hidden="false" customHeight="false" outlineLevel="0" collapsed="false">
      <c r="G543" s="23" t="str">
        <f aca="false">IF(OR(D543="",E543=""),"",E543*IFERROR(VLOOKUP(F543,Perfil!$B$19:$C$24,2,0),1))</f>
        <v/>
      </c>
      <c r="H543" s="23" t="str">
        <f aca="false">IF(G543="","",G543/100*INDEX(Alimentos!$E$5:$E$40,MATCH($D543,Alimentos!$B$5:$B$40,0)))</f>
        <v/>
      </c>
      <c r="I543" s="23" t="str">
        <f aca="false">IF(G543="","",G543/100*INDEX(Alimentos!$F$5:$F$40,MATCH($D543,Alimentos!$B$5:$B$40,0)))</f>
        <v/>
      </c>
      <c r="J543" s="23" t="str">
        <f aca="false">IF(G543="","",G543/100*INDEX(Alimentos!$G$5:$G$40,MATCH($D543,Alimentos!$B$5:$B$40,0)))</f>
        <v/>
      </c>
      <c r="K543" s="23" t="str">
        <f aca="false">IF(G543="","",G543/100*INDEX(Alimentos!$H$5:$H$40,MATCH($D543,Alimentos!$B$5:$B$40,0)))</f>
        <v/>
      </c>
      <c r="L543" s="24" t="str">
        <f aca="false">IF(OR(A543="",B543=""),"",Perfil!$C$13+(A543-1)*7+MATCH(B543,{"Lunes","Martes","Miércoles","Jueves","Viernes","Sábado","Domingo"},0)-1)</f>
        <v/>
      </c>
    </row>
    <row r="544" customFormat="false" ht="15" hidden="false" customHeight="false" outlineLevel="0" collapsed="false">
      <c r="G544" s="23" t="str">
        <f aca="false">IF(OR(D544="",E544=""),"",E544*IFERROR(VLOOKUP(F544,Perfil!$B$19:$C$24,2,0),1))</f>
        <v/>
      </c>
      <c r="H544" s="23" t="str">
        <f aca="false">IF(G544="","",G544/100*INDEX(Alimentos!$E$5:$E$40,MATCH($D544,Alimentos!$B$5:$B$40,0)))</f>
        <v/>
      </c>
      <c r="I544" s="23" t="str">
        <f aca="false">IF(G544="","",G544/100*INDEX(Alimentos!$F$5:$F$40,MATCH($D544,Alimentos!$B$5:$B$40,0)))</f>
        <v/>
      </c>
      <c r="J544" s="23" t="str">
        <f aca="false">IF(G544="","",G544/100*INDEX(Alimentos!$G$5:$G$40,MATCH($D544,Alimentos!$B$5:$B$40,0)))</f>
        <v/>
      </c>
      <c r="K544" s="23" t="str">
        <f aca="false">IF(G544="","",G544/100*INDEX(Alimentos!$H$5:$H$40,MATCH($D544,Alimentos!$B$5:$B$40,0)))</f>
        <v/>
      </c>
      <c r="L544" s="24" t="str">
        <f aca="false">IF(OR(A544="",B544=""),"",Perfil!$C$13+(A544-1)*7+MATCH(B544,{"Lunes","Martes","Miércoles","Jueves","Viernes","Sábado","Domingo"},0)-1)</f>
        <v/>
      </c>
    </row>
    <row r="545" customFormat="false" ht="15" hidden="false" customHeight="false" outlineLevel="0" collapsed="false">
      <c r="G545" s="23" t="str">
        <f aca="false">IF(OR(D545="",E545=""),"",E545*IFERROR(VLOOKUP(F545,Perfil!$B$19:$C$24,2,0),1))</f>
        <v/>
      </c>
      <c r="H545" s="23" t="str">
        <f aca="false">IF(G545="","",G545/100*INDEX(Alimentos!$E$5:$E$40,MATCH($D545,Alimentos!$B$5:$B$40,0)))</f>
        <v/>
      </c>
      <c r="I545" s="23" t="str">
        <f aca="false">IF(G545="","",G545/100*INDEX(Alimentos!$F$5:$F$40,MATCH($D545,Alimentos!$B$5:$B$40,0)))</f>
        <v/>
      </c>
      <c r="J545" s="23" t="str">
        <f aca="false">IF(G545="","",G545/100*INDEX(Alimentos!$G$5:$G$40,MATCH($D545,Alimentos!$B$5:$B$40,0)))</f>
        <v/>
      </c>
      <c r="K545" s="23" t="str">
        <f aca="false">IF(G545="","",G545/100*INDEX(Alimentos!$H$5:$H$40,MATCH($D545,Alimentos!$B$5:$B$40,0)))</f>
        <v/>
      </c>
      <c r="L545" s="24" t="str">
        <f aca="false">IF(OR(A545="",B545=""),"",Perfil!$C$13+(A545-1)*7+MATCH(B545,{"Lunes","Martes","Miércoles","Jueves","Viernes","Sábado","Domingo"},0)-1)</f>
        <v/>
      </c>
    </row>
    <row r="546" customFormat="false" ht="15" hidden="false" customHeight="false" outlineLevel="0" collapsed="false">
      <c r="G546" s="23" t="str">
        <f aca="false">IF(OR(D546="",E546=""),"",E546*IFERROR(VLOOKUP(F546,Perfil!$B$19:$C$24,2,0),1))</f>
        <v/>
      </c>
      <c r="H546" s="23" t="str">
        <f aca="false">IF(G546="","",G546/100*INDEX(Alimentos!$E$5:$E$40,MATCH($D546,Alimentos!$B$5:$B$40,0)))</f>
        <v/>
      </c>
      <c r="I546" s="23" t="str">
        <f aca="false">IF(G546="","",G546/100*INDEX(Alimentos!$F$5:$F$40,MATCH($D546,Alimentos!$B$5:$B$40,0)))</f>
        <v/>
      </c>
      <c r="J546" s="23" t="str">
        <f aca="false">IF(G546="","",G546/100*INDEX(Alimentos!$G$5:$G$40,MATCH($D546,Alimentos!$B$5:$B$40,0)))</f>
        <v/>
      </c>
      <c r="K546" s="23" t="str">
        <f aca="false">IF(G546="","",G546/100*INDEX(Alimentos!$H$5:$H$40,MATCH($D546,Alimentos!$B$5:$B$40,0)))</f>
        <v/>
      </c>
      <c r="L546" s="24" t="str">
        <f aca="false">IF(OR(A546="",B546=""),"",Perfil!$C$13+(A546-1)*7+MATCH(B546,{"Lunes","Martes","Miércoles","Jueves","Viernes","Sábado","Domingo"},0)-1)</f>
        <v/>
      </c>
    </row>
    <row r="547" customFormat="false" ht="15" hidden="false" customHeight="false" outlineLevel="0" collapsed="false">
      <c r="G547" s="23" t="str">
        <f aca="false">IF(OR(D547="",E547=""),"",E547*IFERROR(VLOOKUP(F547,Perfil!$B$19:$C$24,2,0),1))</f>
        <v/>
      </c>
      <c r="H547" s="23" t="str">
        <f aca="false">IF(G547="","",G547/100*INDEX(Alimentos!$E$5:$E$40,MATCH($D547,Alimentos!$B$5:$B$40,0)))</f>
        <v/>
      </c>
      <c r="I547" s="23" t="str">
        <f aca="false">IF(G547="","",G547/100*INDEX(Alimentos!$F$5:$F$40,MATCH($D547,Alimentos!$B$5:$B$40,0)))</f>
        <v/>
      </c>
      <c r="J547" s="23" t="str">
        <f aca="false">IF(G547="","",G547/100*INDEX(Alimentos!$G$5:$G$40,MATCH($D547,Alimentos!$B$5:$B$40,0)))</f>
        <v/>
      </c>
      <c r="K547" s="23" t="str">
        <f aca="false">IF(G547="","",G547/100*INDEX(Alimentos!$H$5:$H$40,MATCH($D547,Alimentos!$B$5:$B$40,0)))</f>
        <v/>
      </c>
      <c r="L547" s="24" t="str">
        <f aca="false">IF(OR(A547="",B547=""),"",Perfil!$C$13+(A547-1)*7+MATCH(B547,{"Lunes","Martes","Miércoles","Jueves","Viernes","Sábado","Domingo"},0)-1)</f>
        <v/>
      </c>
    </row>
    <row r="548" customFormat="false" ht="15" hidden="false" customHeight="false" outlineLevel="0" collapsed="false">
      <c r="G548" s="23" t="str">
        <f aca="false">IF(OR(D548="",E548=""),"",E548*IFERROR(VLOOKUP(F548,Perfil!$B$19:$C$24,2,0),1))</f>
        <v/>
      </c>
      <c r="H548" s="23" t="str">
        <f aca="false">IF(G548="","",G548/100*INDEX(Alimentos!$E$5:$E$40,MATCH($D548,Alimentos!$B$5:$B$40,0)))</f>
        <v/>
      </c>
      <c r="I548" s="23" t="str">
        <f aca="false">IF(G548="","",G548/100*INDEX(Alimentos!$F$5:$F$40,MATCH($D548,Alimentos!$B$5:$B$40,0)))</f>
        <v/>
      </c>
      <c r="J548" s="23" t="str">
        <f aca="false">IF(G548="","",G548/100*INDEX(Alimentos!$G$5:$G$40,MATCH($D548,Alimentos!$B$5:$B$40,0)))</f>
        <v/>
      </c>
      <c r="K548" s="23" t="str">
        <f aca="false">IF(G548="","",G548/100*INDEX(Alimentos!$H$5:$H$40,MATCH($D548,Alimentos!$B$5:$B$40,0)))</f>
        <v/>
      </c>
      <c r="L548" s="24" t="str">
        <f aca="false">IF(OR(A548="",B548=""),"",Perfil!$C$13+(A548-1)*7+MATCH(B548,{"Lunes","Martes","Miércoles","Jueves","Viernes","Sábado","Domingo"},0)-1)</f>
        <v/>
      </c>
    </row>
    <row r="549" customFormat="false" ht="15" hidden="false" customHeight="false" outlineLevel="0" collapsed="false">
      <c r="G549" s="23" t="str">
        <f aca="false">IF(OR(D549="",E549=""),"",E549*IFERROR(VLOOKUP(F549,Perfil!$B$19:$C$24,2,0),1))</f>
        <v/>
      </c>
      <c r="H549" s="23" t="str">
        <f aca="false">IF(G549="","",G549/100*INDEX(Alimentos!$E$5:$E$40,MATCH($D549,Alimentos!$B$5:$B$40,0)))</f>
        <v/>
      </c>
      <c r="I549" s="23" t="str">
        <f aca="false">IF(G549="","",G549/100*INDEX(Alimentos!$F$5:$F$40,MATCH($D549,Alimentos!$B$5:$B$40,0)))</f>
        <v/>
      </c>
      <c r="J549" s="23" t="str">
        <f aca="false">IF(G549="","",G549/100*INDEX(Alimentos!$G$5:$G$40,MATCH($D549,Alimentos!$B$5:$B$40,0)))</f>
        <v/>
      </c>
      <c r="K549" s="23" t="str">
        <f aca="false">IF(G549="","",G549/100*INDEX(Alimentos!$H$5:$H$40,MATCH($D549,Alimentos!$B$5:$B$40,0)))</f>
        <v/>
      </c>
      <c r="L549" s="24" t="str">
        <f aca="false">IF(OR(A549="",B549=""),"",Perfil!$C$13+(A549-1)*7+MATCH(B549,{"Lunes","Martes","Miércoles","Jueves","Viernes","Sábado","Domingo"},0)-1)</f>
        <v/>
      </c>
    </row>
    <row r="550" customFormat="false" ht="15" hidden="false" customHeight="false" outlineLevel="0" collapsed="false">
      <c r="G550" s="23" t="str">
        <f aca="false">IF(OR(D550="",E550=""),"",E550*IFERROR(VLOOKUP(F550,Perfil!$B$19:$C$24,2,0),1))</f>
        <v/>
      </c>
      <c r="H550" s="23" t="str">
        <f aca="false">IF(G550="","",G550/100*INDEX(Alimentos!$E$5:$E$40,MATCH($D550,Alimentos!$B$5:$B$40,0)))</f>
        <v/>
      </c>
      <c r="I550" s="23" t="str">
        <f aca="false">IF(G550="","",G550/100*INDEX(Alimentos!$F$5:$F$40,MATCH($D550,Alimentos!$B$5:$B$40,0)))</f>
        <v/>
      </c>
      <c r="J550" s="23" t="str">
        <f aca="false">IF(G550="","",G550/100*INDEX(Alimentos!$G$5:$G$40,MATCH($D550,Alimentos!$B$5:$B$40,0)))</f>
        <v/>
      </c>
      <c r="K550" s="23" t="str">
        <f aca="false">IF(G550="","",G550/100*INDEX(Alimentos!$H$5:$H$40,MATCH($D550,Alimentos!$B$5:$B$40,0)))</f>
        <v/>
      </c>
      <c r="L550" s="24" t="str">
        <f aca="false">IF(OR(A550="",B550=""),"",Perfil!$C$13+(A550-1)*7+MATCH(B550,{"Lunes","Martes","Miércoles","Jueves","Viernes","Sábado","Domingo"},0)-1)</f>
        <v/>
      </c>
    </row>
    <row r="551" customFormat="false" ht="15" hidden="false" customHeight="false" outlineLevel="0" collapsed="false">
      <c r="G551" s="23" t="str">
        <f aca="false">IF(OR(D551="",E551=""),"",E551*IFERROR(VLOOKUP(F551,Perfil!$B$19:$C$24,2,0),1))</f>
        <v/>
      </c>
      <c r="H551" s="23" t="str">
        <f aca="false">IF(G551="","",G551/100*INDEX(Alimentos!$E$5:$E$40,MATCH($D551,Alimentos!$B$5:$B$40,0)))</f>
        <v/>
      </c>
      <c r="I551" s="23" t="str">
        <f aca="false">IF(G551="","",G551/100*INDEX(Alimentos!$F$5:$F$40,MATCH($D551,Alimentos!$B$5:$B$40,0)))</f>
        <v/>
      </c>
      <c r="J551" s="23" t="str">
        <f aca="false">IF(G551="","",G551/100*INDEX(Alimentos!$G$5:$G$40,MATCH($D551,Alimentos!$B$5:$B$40,0)))</f>
        <v/>
      </c>
      <c r="K551" s="23" t="str">
        <f aca="false">IF(G551="","",G551/100*INDEX(Alimentos!$H$5:$H$40,MATCH($D551,Alimentos!$B$5:$B$40,0)))</f>
        <v/>
      </c>
      <c r="L551" s="24" t="str">
        <f aca="false">IF(OR(A551="",B551=""),"",Perfil!$C$13+(A551-1)*7+MATCH(B551,{"Lunes","Martes","Miércoles","Jueves","Viernes","Sábado","Domingo"},0)-1)</f>
        <v/>
      </c>
    </row>
    <row r="552" customFormat="false" ht="15" hidden="false" customHeight="false" outlineLevel="0" collapsed="false">
      <c r="G552" s="23" t="str">
        <f aca="false">IF(OR(D552="",E552=""),"",E552*IFERROR(VLOOKUP(F552,Perfil!$B$19:$C$24,2,0),1))</f>
        <v/>
      </c>
      <c r="H552" s="23" t="str">
        <f aca="false">IF(G552="","",G552/100*INDEX(Alimentos!$E$5:$E$40,MATCH($D552,Alimentos!$B$5:$B$40,0)))</f>
        <v/>
      </c>
      <c r="I552" s="23" t="str">
        <f aca="false">IF(G552="","",G552/100*INDEX(Alimentos!$F$5:$F$40,MATCH($D552,Alimentos!$B$5:$B$40,0)))</f>
        <v/>
      </c>
      <c r="J552" s="23" t="str">
        <f aca="false">IF(G552="","",G552/100*INDEX(Alimentos!$G$5:$G$40,MATCH($D552,Alimentos!$B$5:$B$40,0)))</f>
        <v/>
      </c>
      <c r="K552" s="23" t="str">
        <f aca="false">IF(G552="","",G552/100*INDEX(Alimentos!$H$5:$H$40,MATCH($D552,Alimentos!$B$5:$B$40,0)))</f>
        <v/>
      </c>
      <c r="L552" s="24" t="str">
        <f aca="false">IF(OR(A552="",B552=""),"",Perfil!$C$13+(A552-1)*7+MATCH(B552,{"Lunes","Martes","Miércoles","Jueves","Viernes","Sábado","Domingo"},0)-1)</f>
        <v/>
      </c>
    </row>
    <row r="553" customFormat="false" ht="15" hidden="false" customHeight="false" outlineLevel="0" collapsed="false">
      <c r="G553" s="23" t="str">
        <f aca="false">IF(OR(D553="",E553=""),"",E553*IFERROR(VLOOKUP(F553,Perfil!$B$19:$C$24,2,0),1))</f>
        <v/>
      </c>
      <c r="H553" s="23" t="str">
        <f aca="false">IF(G553="","",G553/100*INDEX(Alimentos!$E$5:$E$40,MATCH($D553,Alimentos!$B$5:$B$40,0)))</f>
        <v/>
      </c>
      <c r="I553" s="23" t="str">
        <f aca="false">IF(G553="","",G553/100*INDEX(Alimentos!$F$5:$F$40,MATCH($D553,Alimentos!$B$5:$B$40,0)))</f>
        <v/>
      </c>
      <c r="J553" s="23" t="str">
        <f aca="false">IF(G553="","",G553/100*INDEX(Alimentos!$G$5:$G$40,MATCH($D553,Alimentos!$B$5:$B$40,0)))</f>
        <v/>
      </c>
      <c r="K553" s="23" t="str">
        <f aca="false">IF(G553="","",G553/100*INDEX(Alimentos!$H$5:$H$40,MATCH($D553,Alimentos!$B$5:$B$40,0)))</f>
        <v/>
      </c>
      <c r="L553" s="24" t="str">
        <f aca="false">IF(OR(A553="",B553=""),"",Perfil!$C$13+(A553-1)*7+MATCH(B553,{"Lunes","Martes","Miércoles","Jueves","Viernes","Sábado","Domingo"},0)-1)</f>
        <v/>
      </c>
    </row>
    <row r="554" customFormat="false" ht="15" hidden="false" customHeight="false" outlineLevel="0" collapsed="false">
      <c r="G554" s="23" t="str">
        <f aca="false">IF(OR(D554="",E554=""),"",E554*IFERROR(VLOOKUP(F554,Perfil!$B$19:$C$24,2,0),1))</f>
        <v/>
      </c>
      <c r="H554" s="23" t="str">
        <f aca="false">IF(G554="","",G554/100*INDEX(Alimentos!$E$5:$E$40,MATCH($D554,Alimentos!$B$5:$B$40,0)))</f>
        <v/>
      </c>
      <c r="I554" s="23" t="str">
        <f aca="false">IF(G554="","",G554/100*INDEX(Alimentos!$F$5:$F$40,MATCH($D554,Alimentos!$B$5:$B$40,0)))</f>
        <v/>
      </c>
      <c r="J554" s="23" t="str">
        <f aca="false">IF(G554="","",G554/100*INDEX(Alimentos!$G$5:$G$40,MATCH($D554,Alimentos!$B$5:$B$40,0)))</f>
        <v/>
      </c>
      <c r="K554" s="23" t="str">
        <f aca="false">IF(G554="","",G554/100*INDEX(Alimentos!$H$5:$H$40,MATCH($D554,Alimentos!$B$5:$B$40,0)))</f>
        <v/>
      </c>
      <c r="L554" s="24" t="str">
        <f aca="false">IF(OR(A554="",B554=""),"",Perfil!$C$13+(A554-1)*7+MATCH(B554,{"Lunes","Martes","Miércoles","Jueves","Viernes","Sábado","Domingo"},0)-1)</f>
        <v/>
      </c>
    </row>
    <row r="555" customFormat="false" ht="15" hidden="false" customHeight="false" outlineLevel="0" collapsed="false">
      <c r="G555" s="23" t="str">
        <f aca="false">IF(OR(D555="",E555=""),"",E555*IFERROR(VLOOKUP(F555,Perfil!$B$19:$C$24,2,0),1))</f>
        <v/>
      </c>
      <c r="H555" s="23" t="str">
        <f aca="false">IF(G555="","",G555/100*INDEX(Alimentos!$E$5:$E$40,MATCH($D555,Alimentos!$B$5:$B$40,0)))</f>
        <v/>
      </c>
      <c r="I555" s="23" t="str">
        <f aca="false">IF(G555="","",G555/100*INDEX(Alimentos!$F$5:$F$40,MATCH($D555,Alimentos!$B$5:$B$40,0)))</f>
        <v/>
      </c>
      <c r="J555" s="23" t="str">
        <f aca="false">IF(G555="","",G555/100*INDEX(Alimentos!$G$5:$G$40,MATCH($D555,Alimentos!$B$5:$B$40,0)))</f>
        <v/>
      </c>
      <c r="K555" s="23" t="str">
        <f aca="false">IF(G555="","",G555/100*INDEX(Alimentos!$H$5:$H$40,MATCH($D555,Alimentos!$B$5:$B$40,0)))</f>
        <v/>
      </c>
      <c r="L555" s="24" t="str">
        <f aca="false">IF(OR(A555="",B555=""),"",Perfil!$C$13+(A555-1)*7+MATCH(B555,{"Lunes","Martes","Miércoles","Jueves","Viernes","Sábado","Domingo"},0)-1)</f>
        <v/>
      </c>
    </row>
    <row r="556" customFormat="false" ht="15" hidden="false" customHeight="false" outlineLevel="0" collapsed="false">
      <c r="G556" s="23" t="str">
        <f aca="false">IF(OR(D556="",E556=""),"",E556*IFERROR(VLOOKUP(F556,Perfil!$B$19:$C$24,2,0),1))</f>
        <v/>
      </c>
      <c r="H556" s="23" t="str">
        <f aca="false">IF(G556="","",G556/100*INDEX(Alimentos!$E$5:$E$40,MATCH($D556,Alimentos!$B$5:$B$40,0)))</f>
        <v/>
      </c>
      <c r="I556" s="23" t="str">
        <f aca="false">IF(G556="","",G556/100*INDEX(Alimentos!$F$5:$F$40,MATCH($D556,Alimentos!$B$5:$B$40,0)))</f>
        <v/>
      </c>
      <c r="J556" s="23" t="str">
        <f aca="false">IF(G556="","",G556/100*INDEX(Alimentos!$G$5:$G$40,MATCH($D556,Alimentos!$B$5:$B$40,0)))</f>
        <v/>
      </c>
      <c r="K556" s="23" t="str">
        <f aca="false">IF(G556="","",G556/100*INDEX(Alimentos!$H$5:$H$40,MATCH($D556,Alimentos!$B$5:$B$40,0)))</f>
        <v/>
      </c>
      <c r="L556" s="24" t="str">
        <f aca="false">IF(OR(A556="",B556=""),"",Perfil!$C$13+(A556-1)*7+MATCH(B556,{"Lunes","Martes","Miércoles","Jueves","Viernes","Sábado","Domingo"},0)-1)</f>
        <v/>
      </c>
    </row>
    <row r="557" customFormat="false" ht="15" hidden="false" customHeight="false" outlineLevel="0" collapsed="false">
      <c r="G557" s="23" t="str">
        <f aca="false">IF(OR(D557="",E557=""),"",E557*IFERROR(VLOOKUP(F557,Perfil!$B$19:$C$24,2,0),1))</f>
        <v/>
      </c>
      <c r="H557" s="23" t="str">
        <f aca="false">IF(G557="","",G557/100*INDEX(Alimentos!$E$5:$E$40,MATCH($D557,Alimentos!$B$5:$B$40,0)))</f>
        <v/>
      </c>
      <c r="I557" s="23" t="str">
        <f aca="false">IF(G557="","",G557/100*INDEX(Alimentos!$F$5:$F$40,MATCH($D557,Alimentos!$B$5:$B$40,0)))</f>
        <v/>
      </c>
      <c r="J557" s="23" t="str">
        <f aca="false">IF(G557="","",G557/100*INDEX(Alimentos!$G$5:$G$40,MATCH($D557,Alimentos!$B$5:$B$40,0)))</f>
        <v/>
      </c>
      <c r="K557" s="23" t="str">
        <f aca="false">IF(G557="","",G557/100*INDEX(Alimentos!$H$5:$H$40,MATCH($D557,Alimentos!$B$5:$B$40,0)))</f>
        <v/>
      </c>
      <c r="L557" s="24" t="str">
        <f aca="false">IF(OR(A557="",B557=""),"",Perfil!$C$13+(A557-1)*7+MATCH(B557,{"Lunes","Martes","Miércoles","Jueves","Viernes","Sábado","Domingo"},0)-1)</f>
        <v/>
      </c>
    </row>
    <row r="558" customFormat="false" ht="15" hidden="false" customHeight="false" outlineLevel="0" collapsed="false">
      <c r="G558" s="23" t="str">
        <f aca="false">IF(OR(D558="",E558=""),"",E558*IFERROR(VLOOKUP(F558,Perfil!$B$19:$C$24,2,0),1))</f>
        <v/>
      </c>
      <c r="H558" s="23" t="str">
        <f aca="false">IF(G558="","",G558/100*INDEX(Alimentos!$E$5:$E$40,MATCH($D558,Alimentos!$B$5:$B$40,0)))</f>
        <v/>
      </c>
      <c r="I558" s="23" t="str">
        <f aca="false">IF(G558="","",G558/100*INDEX(Alimentos!$F$5:$F$40,MATCH($D558,Alimentos!$B$5:$B$40,0)))</f>
        <v/>
      </c>
      <c r="J558" s="23" t="str">
        <f aca="false">IF(G558="","",G558/100*INDEX(Alimentos!$G$5:$G$40,MATCH($D558,Alimentos!$B$5:$B$40,0)))</f>
        <v/>
      </c>
      <c r="K558" s="23" t="str">
        <f aca="false">IF(G558="","",G558/100*INDEX(Alimentos!$H$5:$H$40,MATCH($D558,Alimentos!$B$5:$B$40,0)))</f>
        <v/>
      </c>
      <c r="L558" s="24" t="str">
        <f aca="false">IF(OR(A558="",B558=""),"",Perfil!$C$13+(A558-1)*7+MATCH(B558,{"Lunes","Martes","Miércoles","Jueves","Viernes","Sábado","Domingo"},0)-1)</f>
        <v/>
      </c>
    </row>
    <row r="559" customFormat="false" ht="15" hidden="false" customHeight="false" outlineLevel="0" collapsed="false">
      <c r="G559" s="23" t="str">
        <f aca="false">IF(OR(D559="",E559=""),"",E559*IFERROR(VLOOKUP(F559,Perfil!$B$19:$C$24,2,0),1))</f>
        <v/>
      </c>
      <c r="H559" s="23" t="str">
        <f aca="false">IF(G559="","",G559/100*INDEX(Alimentos!$E$5:$E$40,MATCH($D559,Alimentos!$B$5:$B$40,0)))</f>
        <v/>
      </c>
      <c r="I559" s="23" t="str">
        <f aca="false">IF(G559="","",G559/100*INDEX(Alimentos!$F$5:$F$40,MATCH($D559,Alimentos!$B$5:$B$40,0)))</f>
        <v/>
      </c>
      <c r="J559" s="23" t="str">
        <f aca="false">IF(G559="","",G559/100*INDEX(Alimentos!$G$5:$G$40,MATCH($D559,Alimentos!$B$5:$B$40,0)))</f>
        <v/>
      </c>
      <c r="K559" s="23" t="str">
        <f aca="false">IF(G559="","",G559/100*INDEX(Alimentos!$H$5:$H$40,MATCH($D559,Alimentos!$B$5:$B$40,0)))</f>
        <v/>
      </c>
      <c r="L559" s="24" t="str">
        <f aca="false">IF(OR(A559="",B559=""),"",Perfil!$C$13+(A559-1)*7+MATCH(B559,{"Lunes","Martes","Miércoles","Jueves","Viernes","Sábado","Domingo"},0)-1)</f>
        <v/>
      </c>
    </row>
    <row r="560" customFormat="false" ht="15" hidden="false" customHeight="false" outlineLevel="0" collapsed="false">
      <c r="G560" s="23" t="str">
        <f aca="false">IF(OR(D560="",E560=""),"",E560*IFERROR(VLOOKUP(F560,Perfil!$B$19:$C$24,2,0),1))</f>
        <v/>
      </c>
      <c r="H560" s="23" t="str">
        <f aca="false">IF(G560="","",G560/100*INDEX(Alimentos!$E$5:$E$40,MATCH($D560,Alimentos!$B$5:$B$40,0)))</f>
        <v/>
      </c>
      <c r="I560" s="23" t="str">
        <f aca="false">IF(G560="","",G560/100*INDEX(Alimentos!$F$5:$F$40,MATCH($D560,Alimentos!$B$5:$B$40,0)))</f>
        <v/>
      </c>
      <c r="J560" s="23" t="str">
        <f aca="false">IF(G560="","",G560/100*INDEX(Alimentos!$G$5:$G$40,MATCH($D560,Alimentos!$B$5:$B$40,0)))</f>
        <v/>
      </c>
      <c r="K560" s="23" t="str">
        <f aca="false">IF(G560="","",G560/100*INDEX(Alimentos!$H$5:$H$40,MATCH($D560,Alimentos!$B$5:$B$40,0)))</f>
        <v/>
      </c>
      <c r="L560" s="24" t="str">
        <f aca="false">IF(OR(A560="",B560=""),"",Perfil!$C$13+(A560-1)*7+MATCH(B560,{"Lunes","Martes","Miércoles","Jueves","Viernes","Sábado","Domingo"},0)-1)</f>
        <v/>
      </c>
    </row>
    <row r="561" customFormat="false" ht="15" hidden="false" customHeight="false" outlineLevel="0" collapsed="false">
      <c r="G561" s="23" t="str">
        <f aca="false">IF(OR(D561="",E561=""),"",E561*IFERROR(VLOOKUP(F561,Perfil!$B$19:$C$24,2,0),1))</f>
        <v/>
      </c>
      <c r="H561" s="23" t="str">
        <f aca="false">IF(G561="","",G561/100*INDEX(Alimentos!$E$5:$E$40,MATCH($D561,Alimentos!$B$5:$B$40,0)))</f>
        <v/>
      </c>
      <c r="I561" s="23" t="str">
        <f aca="false">IF(G561="","",G561/100*INDEX(Alimentos!$F$5:$F$40,MATCH($D561,Alimentos!$B$5:$B$40,0)))</f>
        <v/>
      </c>
      <c r="J561" s="23" t="str">
        <f aca="false">IF(G561="","",G561/100*INDEX(Alimentos!$G$5:$G$40,MATCH($D561,Alimentos!$B$5:$B$40,0)))</f>
        <v/>
      </c>
      <c r="K561" s="23" t="str">
        <f aca="false">IF(G561="","",G561/100*INDEX(Alimentos!$H$5:$H$40,MATCH($D561,Alimentos!$B$5:$B$40,0)))</f>
        <v/>
      </c>
      <c r="L561" s="24" t="str">
        <f aca="false">IF(OR(A561="",B561=""),"",Perfil!$C$13+(A561-1)*7+MATCH(B561,{"Lunes","Martes","Miércoles","Jueves","Viernes","Sábado","Domingo"},0)-1)</f>
        <v/>
      </c>
    </row>
    <row r="562" customFormat="false" ht="15" hidden="false" customHeight="false" outlineLevel="0" collapsed="false">
      <c r="G562" s="23" t="str">
        <f aca="false">IF(OR(D562="",E562=""),"",E562*IFERROR(VLOOKUP(F562,Perfil!$B$19:$C$24,2,0),1))</f>
        <v/>
      </c>
      <c r="H562" s="23" t="str">
        <f aca="false">IF(G562="","",G562/100*INDEX(Alimentos!$E$5:$E$40,MATCH($D562,Alimentos!$B$5:$B$40,0)))</f>
        <v/>
      </c>
      <c r="I562" s="23" t="str">
        <f aca="false">IF(G562="","",G562/100*INDEX(Alimentos!$F$5:$F$40,MATCH($D562,Alimentos!$B$5:$B$40,0)))</f>
        <v/>
      </c>
      <c r="J562" s="23" t="str">
        <f aca="false">IF(G562="","",G562/100*INDEX(Alimentos!$G$5:$G$40,MATCH($D562,Alimentos!$B$5:$B$40,0)))</f>
        <v/>
      </c>
      <c r="K562" s="23" t="str">
        <f aca="false">IF(G562="","",G562/100*INDEX(Alimentos!$H$5:$H$40,MATCH($D562,Alimentos!$B$5:$B$40,0)))</f>
        <v/>
      </c>
      <c r="L562" s="24" t="str">
        <f aca="false">IF(OR(A562="",B562=""),"",Perfil!$C$13+(A562-1)*7+MATCH(B562,{"Lunes","Martes","Miércoles","Jueves","Viernes","Sábado","Domingo"},0)-1)</f>
        <v/>
      </c>
    </row>
    <row r="563" customFormat="false" ht="15" hidden="false" customHeight="false" outlineLevel="0" collapsed="false">
      <c r="G563" s="23" t="str">
        <f aca="false">IF(OR(D563="",E563=""),"",E563*IFERROR(VLOOKUP(F563,Perfil!$B$19:$C$24,2,0),1))</f>
        <v/>
      </c>
      <c r="H563" s="23" t="str">
        <f aca="false">IF(G563="","",G563/100*INDEX(Alimentos!$E$5:$E$40,MATCH($D563,Alimentos!$B$5:$B$40,0)))</f>
        <v/>
      </c>
      <c r="I563" s="23" t="str">
        <f aca="false">IF(G563="","",G563/100*INDEX(Alimentos!$F$5:$F$40,MATCH($D563,Alimentos!$B$5:$B$40,0)))</f>
        <v/>
      </c>
      <c r="J563" s="23" t="str">
        <f aca="false">IF(G563="","",G563/100*INDEX(Alimentos!$G$5:$G$40,MATCH($D563,Alimentos!$B$5:$B$40,0)))</f>
        <v/>
      </c>
      <c r="K563" s="23" t="str">
        <f aca="false">IF(G563="","",G563/100*INDEX(Alimentos!$H$5:$H$40,MATCH($D563,Alimentos!$B$5:$B$40,0)))</f>
        <v/>
      </c>
      <c r="L563" s="24" t="str">
        <f aca="false">IF(OR(A563="",B563=""),"",Perfil!$C$13+(A563-1)*7+MATCH(B563,{"Lunes","Martes","Miércoles","Jueves","Viernes","Sábado","Domingo"},0)-1)</f>
        <v/>
      </c>
    </row>
    <row r="564" customFormat="false" ht="15" hidden="false" customHeight="false" outlineLevel="0" collapsed="false">
      <c r="G564" s="23" t="str">
        <f aca="false">IF(OR(D564="",E564=""),"",E564*IFERROR(VLOOKUP(F564,Perfil!$B$19:$C$24,2,0),1))</f>
        <v/>
      </c>
      <c r="H564" s="23" t="str">
        <f aca="false">IF(G564="","",G564/100*INDEX(Alimentos!$E$5:$E$40,MATCH($D564,Alimentos!$B$5:$B$40,0)))</f>
        <v/>
      </c>
      <c r="I564" s="23" t="str">
        <f aca="false">IF(G564="","",G564/100*INDEX(Alimentos!$F$5:$F$40,MATCH($D564,Alimentos!$B$5:$B$40,0)))</f>
        <v/>
      </c>
      <c r="J564" s="23" t="str">
        <f aca="false">IF(G564="","",G564/100*INDEX(Alimentos!$G$5:$G$40,MATCH($D564,Alimentos!$B$5:$B$40,0)))</f>
        <v/>
      </c>
      <c r="K564" s="23" t="str">
        <f aca="false">IF(G564="","",G564/100*INDEX(Alimentos!$H$5:$H$40,MATCH($D564,Alimentos!$B$5:$B$40,0)))</f>
        <v/>
      </c>
      <c r="L564" s="24" t="str">
        <f aca="false">IF(OR(A564="",B564=""),"",Perfil!$C$13+(A564-1)*7+MATCH(B564,{"Lunes","Martes","Miércoles","Jueves","Viernes","Sábado","Domingo"},0)-1)</f>
        <v/>
      </c>
    </row>
    <row r="565" customFormat="false" ht="15" hidden="false" customHeight="false" outlineLevel="0" collapsed="false">
      <c r="G565" s="23" t="str">
        <f aca="false">IF(OR(D565="",E565=""),"",E565*IFERROR(VLOOKUP(F565,Perfil!$B$19:$C$24,2,0),1))</f>
        <v/>
      </c>
      <c r="H565" s="23" t="str">
        <f aca="false">IF(G565="","",G565/100*INDEX(Alimentos!$E$5:$E$40,MATCH($D565,Alimentos!$B$5:$B$40,0)))</f>
        <v/>
      </c>
      <c r="I565" s="23" t="str">
        <f aca="false">IF(G565="","",G565/100*INDEX(Alimentos!$F$5:$F$40,MATCH($D565,Alimentos!$B$5:$B$40,0)))</f>
        <v/>
      </c>
      <c r="J565" s="23" t="str">
        <f aca="false">IF(G565="","",G565/100*INDEX(Alimentos!$G$5:$G$40,MATCH($D565,Alimentos!$B$5:$B$40,0)))</f>
        <v/>
      </c>
      <c r="K565" s="23" t="str">
        <f aca="false">IF(G565="","",G565/100*INDEX(Alimentos!$H$5:$H$40,MATCH($D565,Alimentos!$B$5:$B$40,0)))</f>
        <v/>
      </c>
      <c r="L565" s="24" t="str">
        <f aca="false">IF(OR(A565="",B565=""),"",Perfil!$C$13+(A565-1)*7+MATCH(B565,{"Lunes","Martes","Miércoles","Jueves","Viernes","Sábado","Domingo"},0)-1)</f>
        <v/>
      </c>
    </row>
    <row r="566" customFormat="false" ht="15" hidden="false" customHeight="false" outlineLevel="0" collapsed="false">
      <c r="G566" s="23" t="str">
        <f aca="false">IF(OR(D566="",E566=""),"",E566*IFERROR(VLOOKUP(F566,Perfil!$B$19:$C$24,2,0),1))</f>
        <v/>
      </c>
      <c r="H566" s="23" t="str">
        <f aca="false">IF(G566="","",G566/100*INDEX(Alimentos!$E$5:$E$40,MATCH($D566,Alimentos!$B$5:$B$40,0)))</f>
        <v/>
      </c>
      <c r="I566" s="23" t="str">
        <f aca="false">IF(G566="","",G566/100*INDEX(Alimentos!$F$5:$F$40,MATCH($D566,Alimentos!$B$5:$B$40,0)))</f>
        <v/>
      </c>
      <c r="J566" s="23" t="str">
        <f aca="false">IF(G566="","",G566/100*INDEX(Alimentos!$G$5:$G$40,MATCH($D566,Alimentos!$B$5:$B$40,0)))</f>
        <v/>
      </c>
      <c r="K566" s="23" t="str">
        <f aca="false">IF(G566="","",G566/100*INDEX(Alimentos!$H$5:$H$40,MATCH($D566,Alimentos!$B$5:$B$40,0)))</f>
        <v/>
      </c>
      <c r="L566" s="24" t="str">
        <f aca="false">IF(OR(A566="",B566=""),"",Perfil!$C$13+(A566-1)*7+MATCH(B566,{"Lunes","Martes","Miércoles","Jueves","Viernes","Sábado","Domingo"},0)-1)</f>
        <v/>
      </c>
    </row>
    <row r="567" customFormat="false" ht="15" hidden="false" customHeight="false" outlineLevel="0" collapsed="false">
      <c r="G567" s="23" t="str">
        <f aca="false">IF(OR(D567="",E567=""),"",E567*IFERROR(VLOOKUP(F567,Perfil!$B$19:$C$24,2,0),1))</f>
        <v/>
      </c>
      <c r="H567" s="23" t="str">
        <f aca="false">IF(G567="","",G567/100*INDEX(Alimentos!$E$5:$E$40,MATCH($D567,Alimentos!$B$5:$B$40,0)))</f>
        <v/>
      </c>
      <c r="I567" s="23" t="str">
        <f aca="false">IF(G567="","",G567/100*INDEX(Alimentos!$F$5:$F$40,MATCH($D567,Alimentos!$B$5:$B$40,0)))</f>
        <v/>
      </c>
      <c r="J567" s="23" t="str">
        <f aca="false">IF(G567="","",G567/100*INDEX(Alimentos!$G$5:$G$40,MATCH($D567,Alimentos!$B$5:$B$40,0)))</f>
        <v/>
      </c>
      <c r="K567" s="23" t="str">
        <f aca="false">IF(G567="","",G567/100*INDEX(Alimentos!$H$5:$H$40,MATCH($D567,Alimentos!$B$5:$B$40,0)))</f>
        <v/>
      </c>
      <c r="L567" s="24" t="str">
        <f aca="false">IF(OR(A567="",B567=""),"",Perfil!$C$13+(A567-1)*7+MATCH(B567,{"Lunes","Martes","Miércoles","Jueves","Viernes","Sábado","Domingo"},0)-1)</f>
        <v/>
      </c>
    </row>
    <row r="568" customFormat="false" ht="15" hidden="false" customHeight="false" outlineLevel="0" collapsed="false">
      <c r="G568" s="23" t="str">
        <f aca="false">IF(OR(D568="",E568=""),"",E568*IFERROR(VLOOKUP(F568,Perfil!$B$19:$C$24,2,0),1))</f>
        <v/>
      </c>
      <c r="H568" s="23" t="str">
        <f aca="false">IF(G568="","",G568/100*INDEX(Alimentos!$E$5:$E$40,MATCH($D568,Alimentos!$B$5:$B$40,0)))</f>
        <v/>
      </c>
      <c r="I568" s="23" t="str">
        <f aca="false">IF(G568="","",G568/100*INDEX(Alimentos!$F$5:$F$40,MATCH($D568,Alimentos!$B$5:$B$40,0)))</f>
        <v/>
      </c>
      <c r="J568" s="23" t="str">
        <f aca="false">IF(G568="","",G568/100*INDEX(Alimentos!$G$5:$G$40,MATCH($D568,Alimentos!$B$5:$B$40,0)))</f>
        <v/>
      </c>
      <c r="K568" s="23" t="str">
        <f aca="false">IF(G568="","",G568/100*INDEX(Alimentos!$H$5:$H$40,MATCH($D568,Alimentos!$B$5:$B$40,0)))</f>
        <v/>
      </c>
      <c r="L568" s="24" t="str">
        <f aca="false">IF(OR(A568="",B568=""),"",Perfil!$C$13+(A568-1)*7+MATCH(B568,{"Lunes","Martes","Miércoles","Jueves","Viernes","Sábado","Domingo"},0)-1)</f>
        <v/>
      </c>
    </row>
    <row r="569" customFormat="false" ht="15" hidden="false" customHeight="false" outlineLevel="0" collapsed="false">
      <c r="G569" s="23" t="str">
        <f aca="false">IF(OR(D569="",E569=""),"",E569*IFERROR(VLOOKUP(F569,Perfil!$B$19:$C$24,2,0),1))</f>
        <v/>
      </c>
      <c r="H569" s="23" t="str">
        <f aca="false">IF(G569="","",G569/100*INDEX(Alimentos!$E$5:$E$40,MATCH($D569,Alimentos!$B$5:$B$40,0)))</f>
        <v/>
      </c>
      <c r="I569" s="23" t="str">
        <f aca="false">IF(G569="","",G569/100*INDEX(Alimentos!$F$5:$F$40,MATCH($D569,Alimentos!$B$5:$B$40,0)))</f>
        <v/>
      </c>
      <c r="J569" s="23" t="str">
        <f aca="false">IF(G569="","",G569/100*INDEX(Alimentos!$G$5:$G$40,MATCH($D569,Alimentos!$B$5:$B$40,0)))</f>
        <v/>
      </c>
      <c r="K569" s="23" t="str">
        <f aca="false">IF(G569="","",G569/100*INDEX(Alimentos!$H$5:$H$40,MATCH($D569,Alimentos!$B$5:$B$40,0)))</f>
        <v/>
      </c>
      <c r="L569" s="24" t="str">
        <f aca="false">IF(OR(A569="",B569=""),"",Perfil!$C$13+(A569-1)*7+MATCH(B569,{"Lunes","Martes","Miércoles","Jueves","Viernes","Sábado","Domingo"},0)-1)</f>
        <v/>
      </c>
    </row>
    <row r="570" customFormat="false" ht="15" hidden="false" customHeight="false" outlineLevel="0" collapsed="false">
      <c r="G570" s="23" t="str">
        <f aca="false">IF(OR(D570="",E570=""),"",E570*IFERROR(VLOOKUP(F570,Perfil!$B$19:$C$24,2,0),1))</f>
        <v/>
      </c>
      <c r="H570" s="23" t="str">
        <f aca="false">IF(G570="","",G570/100*INDEX(Alimentos!$E$5:$E$40,MATCH($D570,Alimentos!$B$5:$B$40,0)))</f>
        <v/>
      </c>
      <c r="I570" s="23" t="str">
        <f aca="false">IF(G570="","",G570/100*INDEX(Alimentos!$F$5:$F$40,MATCH($D570,Alimentos!$B$5:$B$40,0)))</f>
        <v/>
      </c>
      <c r="J570" s="23" t="str">
        <f aca="false">IF(G570="","",G570/100*INDEX(Alimentos!$G$5:$G$40,MATCH($D570,Alimentos!$B$5:$B$40,0)))</f>
        <v/>
      </c>
      <c r="K570" s="23" t="str">
        <f aca="false">IF(G570="","",G570/100*INDEX(Alimentos!$H$5:$H$40,MATCH($D570,Alimentos!$B$5:$B$40,0)))</f>
        <v/>
      </c>
      <c r="L570" s="24" t="str">
        <f aca="false">IF(OR(A570="",B570=""),"",Perfil!$C$13+(A570-1)*7+MATCH(B570,{"Lunes","Martes","Miércoles","Jueves","Viernes","Sábado","Domingo"},0)-1)</f>
        <v/>
      </c>
    </row>
    <row r="571" customFormat="false" ht="15" hidden="false" customHeight="false" outlineLevel="0" collapsed="false">
      <c r="G571" s="23" t="str">
        <f aca="false">IF(OR(D571="",E571=""),"",E571*IFERROR(VLOOKUP(F571,Perfil!$B$19:$C$24,2,0),1))</f>
        <v/>
      </c>
      <c r="H571" s="23" t="str">
        <f aca="false">IF(G571="","",G571/100*INDEX(Alimentos!$E$5:$E$40,MATCH($D571,Alimentos!$B$5:$B$40,0)))</f>
        <v/>
      </c>
      <c r="I571" s="23" t="str">
        <f aca="false">IF(G571="","",G571/100*INDEX(Alimentos!$F$5:$F$40,MATCH($D571,Alimentos!$B$5:$B$40,0)))</f>
        <v/>
      </c>
      <c r="J571" s="23" t="str">
        <f aca="false">IF(G571="","",G571/100*INDEX(Alimentos!$G$5:$G$40,MATCH($D571,Alimentos!$B$5:$B$40,0)))</f>
        <v/>
      </c>
      <c r="K571" s="23" t="str">
        <f aca="false">IF(G571="","",G571/100*INDEX(Alimentos!$H$5:$H$40,MATCH($D571,Alimentos!$B$5:$B$40,0)))</f>
        <v/>
      </c>
      <c r="L571" s="24" t="str">
        <f aca="false">IF(OR(A571="",B571=""),"",Perfil!$C$13+(A571-1)*7+MATCH(B571,{"Lunes","Martes","Miércoles","Jueves","Viernes","Sábado","Domingo"},0)-1)</f>
        <v/>
      </c>
    </row>
    <row r="572" customFormat="false" ht="15" hidden="false" customHeight="false" outlineLevel="0" collapsed="false">
      <c r="G572" s="23" t="str">
        <f aca="false">IF(OR(D572="",E572=""),"",E572*IFERROR(VLOOKUP(F572,Perfil!$B$19:$C$24,2,0),1))</f>
        <v/>
      </c>
      <c r="H572" s="23" t="str">
        <f aca="false">IF(G572="","",G572/100*INDEX(Alimentos!$E$5:$E$40,MATCH($D572,Alimentos!$B$5:$B$40,0)))</f>
        <v/>
      </c>
      <c r="I572" s="23" t="str">
        <f aca="false">IF(G572="","",G572/100*INDEX(Alimentos!$F$5:$F$40,MATCH($D572,Alimentos!$B$5:$B$40,0)))</f>
        <v/>
      </c>
      <c r="J572" s="23" t="str">
        <f aca="false">IF(G572="","",G572/100*INDEX(Alimentos!$G$5:$G$40,MATCH($D572,Alimentos!$B$5:$B$40,0)))</f>
        <v/>
      </c>
      <c r="K572" s="23" t="str">
        <f aca="false">IF(G572="","",G572/100*INDEX(Alimentos!$H$5:$H$40,MATCH($D572,Alimentos!$B$5:$B$40,0)))</f>
        <v/>
      </c>
      <c r="L572" s="24" t="str">
        <f aca="false">IF(OR(A572="",B572=""),"",Perfil!$C$13+(A572-1)*7+MATCH(B572,{"Lunes","Martes","Miércoles","Jueves","Viernes","Sábado","Domingo"},0)-1)</f>
        <v/>
      </c>
    </row>
    <row r="573" customFormat="false" ht="15" hidden="false" customHeight="false" outlineLevel="0" collapsed="false">
      <c r="G573" s="23" t="str">
        <f aca="false">IF(OR(D573="",E573=""),"",E573*IFERROR(VLOOKUP(F573,Perfil!$B$19:$C$24,2,0),1))</f>
        <v/>
      </c>
      <c r="H573" s="23" t="str">
        <f aca="false">IF(G573="","",G573/100*INDEX(Alimentos!$E$5:$E$40,MATCH($D573,Alimentos!$B$5:$B$40,0)))</f>
        <v/>
      </c>
      <c r="I573" s="23" t="str">
        <f aca="false">IF(G573="","",G573/100*INDEX(Alimentos!$F$5:$F$40,MATCH($D573,Alimentos!$B$5:$B$40,0)))</f>
        <v/>
      </c>
      <c r="J573" s="23" t="str">
        <f aca="false">IF(G573="","",G573/100*INDEX(Alimentos!$G$5:$G$40,MATCH($D573,Alimentos!$B$5:$B$40,0)))</f>
        <v/>
      </c>
      <c r="K573" s="23" t="str">
        <f aca="false">IF(G573="","",G573/100*INDEX(Alimentos!$H$5:$H$40,MATCH($D573,Alimentos!$B$5:$B$40,0)))</f>
        <v/>
      </c>
      <c r="L573" s="24" t="str">
        <f aca="false">IF(OR(A573="",B573=""),"",Perfil!$C$13+(A573-1)*7+MATCH(B573,{"Lunes","Martes","Miércoles","Jueves","Viernes","Sábado","Domingo"},0)-1)</f>
        <v/>
      </c>
    </row>
    <row r="574" customFormat="false" ht="15" hidden="false" customHeight="false" outlineLevel="0" collapsed="false">
      <c r="G574" s="23" t="str">
        <f aca="false">IF(OR(D574="",E574=""),"",E574*IFERROR(VLOOKUP(F574,Perfil!$B$19:$C$24,2,0),1))</f>
        <v/>
      </c>
      <c r="H574" s="23" t="str">
        <f aca="false">IF(G574="","",G574/100*INDEX(Alimentos!$E$5:$E$40,MATCH($D574,Alimentos!$B$5:$B$40,0)))</f>
        <v/>
      </c>
      <c r="I574" s="23" t="str">
        <f aca="false">IF(G574="","",G574/100*INDEX(Alimentos!$F$5:$F$40,MATCH($D574,Alimentos!$B$5:$B$40,0)))</f>
        <v/>
      </c>
      <c r="J574" s="23" t="str">
        <f aca="false">IF(G574="","",G574/100*INDEX(Alimentos!$G$5:$G$40,MATCH($D574,Alimentos!$B$5:$B$40,0)))</f>
        <v/>
      </c>
      <c r="K574" s="23" t="str">
        <f aca="false">IF(G574="","",G574/100*INDEX(Alimentos!$H$5:$H$40,MATCH($D574,Alimentos!$B$5:$B$40,0)))</f>
        <v/>
      </c>
      <c r="L574" s="24" t="str">
        <f aca="false">IF(OR(A574="",B574=""),"",Perfil!$C$13+(A574-1)*7+MATCH(B574,{"Lunes","Martes","Miércoles","Jueves","Viernes","Sábado","Domingo"},0)-1)</f>
        <v/>
      </c>
    </row>
    <row r="575" customFormat="false" ht="15" hidden="false" customHeight="false" outlineLevel="0" collapsed="false">
      <c r="G575" s="23" t="str">
        <f aca="false">IF(OR(D575="",E575=""),"",E575*IFERROR(VLOOKUP(F575,Perfil!$B$19:$C$24,2,0),1))</f>
        <v/>
      </c>
      <c r="H575" s="23" t="str">
        <f aca="false">IF(G575="","",G575/100*INDEX(Alimentos!$E$5:$E$40,MATCH($D575,Alimentos!$B$5:$B$40,0)))</f>
        <v/>
      </c>
      <c r="I575" s="23" t="str">
        <f aca="false">IF(G575="","",G575/100*INDEX(Alimentos!$F$5:$F$40,MATCH($D575,Alimentos!$B$5:$B$40,0)))</f>
        <v/>
      </c>
      <c r="J575" s="23" t="str">
        <f aca="false">IF(G575="","",G575/100*INDEX(Alimentos!$G$5:$G$40,MATCH($D575,Alimentos!$B$5:$B$40,0)))</f>
        <v/>
      </c>
      <c r="K575" s="23" t="str">
        <f aca="false">IF(G575="","",G575/100*INDEX(Alimentos!$H$5:$H$40,MATCH($D575,Alimentos!$B$5:$B$40,0)))</f>
        <v/>
      </c>
      <c r="L575" s="24" t="str">
        <f aca="false">IF(OR(A575="",B575=""),"",Perfil!$C$13+(A575-1)*7+MATCH(B575,{"Lunes","Martes","Miércoles","Jueves","Viernes","Sábado","Domingo"},0)-1)</f>
        <v/>
      </c>
    </row>
    <row r="576" customFormat="false" ht="15" hidden="false" customHeight="false" outlineLevel="0" collapsed="false">
      <c r="G576" s="23" t="str">
        <f aca="false">IF(OR(D576="",E576=""),"",E576*IFERROR(VLOOKUP(F576,Perfil!$B$19:$C$24,2,0),1))</f>
        <v/>
      </c>
      <c r="H576" s="23" t="str">
        <f aca="false">IF(G576="","",G576/100*INDEX(Alimentos!$E$5:$E$40,MATCH($D576,Alimentos!$B$5:$B$40,0)))</f>
        <v/>
      </c>
      <c r="I576" s="23" t="str">
        <f aca="false">IF(G576="","",G576/100*INDEX(Alimentos!$F$5:$F$40,MATCH($D576,Alimentos!$B$5:$B$40,0)))</f>
        <v/>
      </c>
      <c r="J576" s="23" t="str">
        <f aca="false">IF(G576="","",G576/100*INDEX(Alimentos!$G$5:$G$40,MATCH($D576,Alimentos!$B$5:$B$40,0)))</f>
        <v/>
      </c>
      <c r="K576" s="23" t="str">
        <f aca="false">IF(G576="","",G576/100*INDEX(Alimentos!$H$5:$H$40,MATCH($D576,Alimentos!$B$5:$B$40,0)))</f>
        <v/>
      </c>
      <c r="L576" s="24" t="str">
        <f aca="false">IF(OR(A576="",B576=""),"",Perfil!$C$13+(A576-1)*7+MATCH(B576,{"Lunes","Martes","Miércoles","Jueves","Viernes","Sábado","Domingo"},0)-1)</f>
        <v/>
      </c>
    </row>
    <row r="577" customFormat="false" ht="15" hidden="false" customHeight="false" outlineLevel="0" collapsed="false">
      <c r="G577" s="23" t="str">
        <f aca="false">IF(OR(D577="",E577=""),"",E577*IFERROR(VLOOKUP(F577,Perfil!$B$19:$C$24,2,0),1))</f>
        <v/>
      </c>
      <c r="H577" s="23" t="str">
        <f aca="false">IF(G577="","",G577/100*INDEX(Alimentos!$E$5:$E$40,MATCH($D577,Alimentos!$B$5:$B$40,0)))</f>
        <v/>
      </c>
      <c r="I577" s="23" t="str">
        <f aca="false">IF(G577="","",G577/100*INDEX(Alimentos!$F$5:$F$40,MATCH($D577,Alimentos!$B$5:$B$40,0)))</f>
        <v/>
      </c>
      <c r="J577" s="23" t="str">
        <f aca="false">IF(G577="","",G577/100*INDEX(Alimentos!$G$5:$G$40,MATCH($D577,Alimentos!$B$5:$B$40,0)))</f>
        <v/>
      </c>
      <c r="K577" s="23" t="str">
        <f aca="false">IF(G577="","",G577/100*INDEX(Alimentos!$H$5:$H$40,MATCH($D577,Alimentos!$B$5:$B$40,0)))</f>
        <v/>
      </c>
      <c r="L577" s="24" t="str">
        <f aca="false">IF(OR(A577="",B577=""),"",Perfil!$C$13+(A577-1)*7+MATCH(B577,{"Lunes","Martes","Miércoles","Jueves","Viernes","Sábado","Domingo"},0)-1)</f>
        <v/>
      </c>
    </row>
    <row r="578" customFormat="false" ht="15" hidden="false" customHeight="false" outlineLevel="0" collapsed="false">
      <c r="G578" s="23" t="str">
        <f aca="false">IF(OR(D578="",E578=""),"",E578*IFERROR(VLOOKUP(F578,Perfil!$B$19:$C$24,2,0),1))</f>
        <v/>
      </c>
      <c r="H578" s="23" t="str">
        <f aca="false">IF(G578="","",G578/100*INDEX(Alimentos!$E$5:$E$40,MATCH($D578,Alimentos!$B$5:$B$40,0)))</f>
        <v/>
      </c>
      <c r="I578" s="23" t="str">
        <f aca="false">IF(G578="","",G578/100*INDEX(Alimentos!$F$5:$F$40,MATCH($D578,Alimentos!$B$5:$B$40,0)))</f>
        <v/>
      </c>
      <c r="J578" s="23" t="str">
        <f aca="false">IF(G578="","",G578/100*INDEX(Alimentos!$G$5:$G$40,MATCH($D578,Alimentos!$B$5:$B$40,0)))</f>
        <v/>
      </c>
      <c r="K578" s="23" t="str">
        <f aca="false">IF(G578="","",G578/100*INDEX(Alimentos!$H$5:$H$40,MATCH($D578,Alimentos!$B$5:$B$40,0)))</f>
        <v/>
      </c>
      <c r="L578" s="24" t="str">
        <f aca="false">IF(OR(A578="",B578=""),"",Perfil!$C$13+(A578-1)*7+MATCH(B578,{"Lunes","Martes","Miércoles","Jueves","Viernes","Sábado","Domingo"},0)-1)</f>
        <v/>
      </c>
    </row>
    <row r="579" customFormat="false" ht="15" hidden="false" customHeight="false" outlineLevel="0" collapsed="false">
      <c r="G579" s="23" t="str">
        <f aca="false">IF(OR(D579="",E579=""),"",E579*IFERROR(VLOOKUP(F579,Perfil!$B$19:$C$24,2,0),1))</f>
        <v/>
      </c>
      <c r="H579" s="23" t="str">
        <f aca="false">IF(G579="","",G579/100*INDEX(Alimentos!$E$5:$E$40,MATCH($D579,Alimentos!$B$5:$B$40,0)))</f>
        <v/>
      </c>
      <c r="I579" s="23" t="str">
        <f aca="false">IF(G579="","",G579/100*INDEX(Alimentos!$F$5:$F$40,MATCH($D579,Alimentos!$B$5:$B$40,0)))</f>
        <v/>
      </c>
      <c r="J579" s="23" t="str">
        <f aca="false">IF(G579="","",G579/100*INDEX(Alimentos!$G$5:$G$40,MATCH($D579,Alimentos!$B$5:$B$40,0)))</f>
        <v/>
      </c>
      <c r="K579" s="23" t="str">
        <f aca="false">IF(G579="","",G579/100*INDEX(Alimentos!$H$5:$H$40,MATCH($D579,Alimentos!$B$5:$B$40,0)))</f>
        <v/>
      </c>
      <c r="L579" s="24" t="str">
        <f aca="false">IF(OR(A579="",B579=""),"",Perfil!$C$13+(A579-1)*7+MATCH(B579,{"Lunes","Martes","Miércoles","Jueves","Viernes","Sábado","Domingo"},0)-1)</f>
        <v/>
      </c>
    </row>
    <row r="580" customFormat="false" ht="15" hidden="false" customHeight="false" outlineLevel="0" collapsed="false">
      <c r="G580" s="23" t="str">
        <f aca="false">IF(OR(D580="",E580=""),"",E580*IFERROR(VLOOKUP(F580,Perfil!$B$19:$C$24,2,0),1))</f>
        <v/>
      </c>
      <c r="H580" s="23" t="str">
        <f aca="false">IF(G580="","",G580/100*INDEX(Alimentos!$E$5:$E$40,MATCH($D580,Alimentos!$B$5:$B$40,0)))</f>
        <v/>
      </c>
      <c r="I580" s="23" t="str">
        <f aca="false">IF(G580="","",G580/100*INDEX(Alimentos!$F$5:$F$40,MATCH($D580,Alimentos!$B$5:$B$40,0)))</f>
        <v/>
      </c>
      <c r="J580" s="23" t="str">
        <f aca="false">IF(G580="","",G580/100*INDEX(Alimentos!$G$5:$G$40,MATCH($D580,Alimentos!$B$5:$B$40,0)))</f>
        <v/>
      </c>
      <c r="K580" s="23" t="str">
        <f aca="false">IF(G580="","",G580/100*INDEX(Alimentos!$H$5:$H$40,MATCH($D580,Alimentos!$B$5:$B$40,0)))</f>
        <v/>
      </c>
      <c r="L580" s="24" t="str">
        <f aca="false">IF(OR(A580="",B580=""),"",Perfil!$C$13+(A580-1)*7+MATCH(B580,{"Lunes","Martes","Miércoles","Jueves","Viernes","Sábado","Domingo"},0)-1)</f>
        <v/>
      </c>
    </row>
    <row r="581" customFormat="false" ht="15" hidden="false" customHeight="false" outlineLevel="0" collapsed="false">
      <c r="G581" s="23" t="str">
        <f aca="false">IF(OR(D581="",E581=""),"",E581*IFERROR(VLOOKUP(F581,Perfil!$B$19:$C$24,2,0),1))</f>
        <v/>
      </c>
      <c r="H581" s="23" t="str">
        <f aca="false">IF(G581="","",G581/100*INDEX(Alimentos!$E$5:$E$40,MATCH($D581,Alimentos!$B$5:$B$40,0)))</f>
        <v/>
      </c>
      <c r="I581" s="23" t="str">
        <f aca="false">IF(G581="","",G581/100*INDEX(Alimentos!$F$5:$F$40,MATCH($D581,Alimentos!$B$5:$B$40,0)))</f>
        <v/>
      </c>
      <c r="J581" s="23" t="str">
        <f aca="false">IF(G581="","",G581/100*INDEX(Alimentos!$G$5:$G$40,MATCH($D581,Alimentos!$B$5:$B$40,0)))</f>
        <v/>
      </c>
      <c r="K581" s="23" t="str">
        <f aca="false">IF(G581="","",G581/100*INDEX(Alimentos!$H$5:$H$40,MATCH($D581,Alimentos!$B$5:$B$40,0)))</f>
        <v/>
      </c>
      <c r="L581" s="24" t="str">
        <f aca="false">IF(OR(A581="",B581=""),"",Perfil!$C$13+(A581-1)*7+MATCH(B581,{"Lunes","Martes","Miércoles","Jueves","Viernes","Sábado","Domingo"},0)-1)</f>
        <v/>
      </c>
    </row>
    <row r="582" customFormat="false" ht="15" hidden="false" customHeight="false" outlineLevel="0" collapsed="false">
      <c r="G582" s="23" t="str">
        <f aca="false">IF(OR(D582="",E582=""),"",E582*IFERROR(VLOOKUP(F582,Perfil!$B$19:$C$24,2,0),1))</f>
        <v/>
      </c>
      <c r="H582" s="23" t="str">
        <f aca="false">IF(G582="","",G582/100*INDEX(Alimentos!$E$5:$E$40,MATCH($D582,Alimentos!$B$5:$B$40,0)))</f>
        <v/>
      </c>
      <c r="I582" s="23" t="str">
        <f aca="false">IF(G582="","",G582/100*INDEX(Alimentos!$F$5:$F$40,MATCH($D582,Alimentos!$B$5:$B$40,0)))</f>
        <v/>
      </c>
      <c r="J582" s="23" t="str">
        <f aca="false">IF(G582="","",G582/100*INDEX(Alimentos!$G$5:$G$40,MATCH($D582,Alimentos!$B$5:$B$40,0)))</f>
        <v/>
      </c>
      <c r="K582" s="23" t="str">
        <f aca="false">IF(G582="","",G582/100*INDEX(Alimentos!$H$5:$H$40,MATCH($D582,Alimentos!$B$5:$B$40,0)))</f>
        <v/>
      </c>
      <c r="L582" s="24" t="str">
        <f aca="false">IF(OR(A582="",B582=""),"",Perfil!$C$13+(A582-1)*7+MATCH(B582,{"Lunes","Martes","Miércoles","Jueves","Viernes","Sábado","Domingo"},0)-1)</f>
        <v/>
      </c>
    </row>
    <row r="583" customFormat="false" ht="15" hidden="false" customHeight="false" outlineLevel="0" collapsed="false">
      <c r="G583" s="23" t="str">
        <f aca="false">IF(OR(D583="",E583=""),"",E583*IFERROR(VLOOKUP(F583,Perfil!$B$19:$C$24,2,0),1))</f>
        <v/>
      </c>
      <c r="H583" s="23" t="str">
        <f aca="false">IF(G583="","",G583/100*INDEX(Alimentos!$E$5:$E$40,MATCH($D583,Alimentos!$B$5:$B$40,0)))</f>
        <v/>
      </c>
      <c r="I583" s="23" t="str">
        <f aca="false">IF(G583="","",G583/100*INDEX(Alimentos!$F$5:$F$40,MATCH($D583,Alimentos!$B$5:$B$40,0)))</f>
        <v/>
      </c>
      <c r="J583" s="23" t="str">
        <f aca="false">IF(G583="","",G583/100*INDEX(Alimentos!$G$5:$G$40,MATCH($D583,Alimentos!$B$5:$B$40,0)))</f>
        <v/>
      </c>
      <c r="K583" s="23" t="str">
        <f aca="false">IF(G583="","",G583/100*INDEX(Alimentos!$H$5:$H$40,MATCH($D583,Alimentos!$B$5:$B$40,0)))</f>
        <v/>
      </c>
      <c r="L583" s="24" t="str">
        <f aca="false">IF(OR(A583="",B583=""),"",Perfil!$C$13+(A583-1)*7+MATCH(B583,{"Lunes","Martes","Miércoles","Jueves","Viernes","Sábado","Domingo"},0)-1)</f>
        <v/>
      </c>
    </row>
    <row r="584" customFormat="false" ht="15" hidden="false" customHeight="false" outlineLevel="0" collapsed="false">
      <c r="G584" s="23" t="str">
        <f aca="false">IF(OR(D584="",E584=""),"",E584*IFERROR(VLOOKUP(F584,Perfil!$B$19:$C$24,2,0),1))</f>
        <v/>
      </c>
      <c r="H584" s="23" t="str">
        <f aca="false">IF(G584="","",G584/100*INDEX(Alimentos!$E$5:$E$40,MATCH($D584,Alimentos!$B$5:$B$40,0)))</f>
        <v/>
      </c>
      <c r="I584" s="23" t="str">
        <f aca="false">IF(G584="","",G584/100*INDEX(Alimentos!$F$5:$F$40,MATCH($D584,Alimentos!$B$5:$B$40,0)))</f>
        <v/>
      </c>
      <c r="J584" s="23" t="str">
        <f aca="false">IF(G584="","",G584/100*INDEX(Alimentos!$G$5:$G$40,MATCH($D584,Alimentos!$B$5:$B$40,0)))</f>
        <v/>
      </c>
      <c r="K584" s="23" t="str">
        <f aca="false">IF(G584="","",G584/100*INDEX(Alimentos!$H$5:$H$40,MATCH($D584,Alimentos!$B$5:$B$40,0)))</f>
        <v/>
      </c>
      <c r="L584" s="24" t="str">
        <f aca="false">IF(OR(A584="",B584=""),"",Perfil!$C$13+(A584-1)*7+MATCH(B584,{"Lunes","Martes","Miércoles","Jueves","Viernes","Sábado","Domingo"},0)-1)</f>
        <v/>
      </c>
    </row>
    <row r="585" customFormat="false" ht="15" hidden="false" customHeight="false" outlineLevel="0" collapsed="false">
      <c r="G585" s="23" t="str">
        <f aca="false">IF(OR(D585="",E585=""),"",E585*IFERROR(VLOOKUP(F585,Perfil!$B$19:$C$24,2,0),1))</f>
        <v/>
      </c>
      <c r="H585" s="23" t="str">
        <f aca="false">IF(G585="","",G585/100*INDEX(Alimentos!$E$5:$E$40,MATCH($D585,Alimentos!$B$5:$B$40,0)))</f>
        <v/>
      </c>
      <c r="I585" s="23" t="str">
        <f aca="false">IF(G585="","",G585/100*INDEX(Alimentos!$F$5:$F$40,MATCH($D585,Alimentos!$B$5:$B$40,0)))</f>
        <v/>
      </c>
      <c r="J585" s="23" t="str">
        <f aca="false">IF(G585="","",G585/100*INDEX(Alimentos!$G$5:$G$40,MATCH($D585,Alimentos!$B$5:$B$40,0)))</f>
        <v/>
      </c>
      <c r="K585" s="23" t="str">
        <f aca="false">IF(G585="","",G585/100*INDEX(Alimentos!$H$5:$H$40,MATCH($D585,Alimentos!$B$5:$B$40,0)))</f>
        <v/>
      </c>
      <c r="L585" s="24" t="str">
        <f aca="false">IF(OR(A585="",B585=""),"",Perfil!$C$13+(A585-1)*7+MATCH(B585,{"Lunes","Martes","Miércoles","Jueves","Viernes","Sábado","Domingo"},0)-1)</f>
        <v/>
      </c>
    </row>
    <row r="586" customFormat="false" ht="15" hidden="false" customHeight="false" outlineLevel="0" collapsed="false">
      <c r="G586" s="23" t="str">
        <f aca="false">IF(OR(D586="",E586=""),"",E586*IFERROR(VLOOKUP(F586,Perfil!$B$19:$C$24,2,0),1))</f>
        <v/>
      </c>
      <c r="H586" s="23" t="str">
        <f aca="false">IF(G586="","",G586/100*INDEX(Alimentos!$E$5:$E$40,MATCH($D586,Alimentos!$B$5:$B$40,0)))</f>
        <v/>
      </c>
      <c r="I586" s="23" t="str">
        <f aca="false">IF(G586="","",G586/100*INDEX(Alimentos!$F$5:$F$40,MATCH($D586,Alimentos!$B$5:$B$40,0)))</f>
        <v/>
      </c>
      <c r="J586" s="23" t="str">
        <f aca="false">IF(G586="","",G586/100*INDEX(Alimentos!$G$5:$G$40,MATCH($D586,Alimentos!$B$5:$B$40,0)))</f>
        <v/>
      </c>
      <c r="K586" s="23" t="str">
        <f aca="false">IF(G586="","",G586/100*INDEX(Alimentos!$H$5:$H$40,MATCH($D586,Alimentos!$B$5:$B$40,0)))</f>
        <v/>
      </c>
      <c r="L586" s="24" t="str">
        <f aca="false">IF(OR(A586="",B586=""),"",Perfil!$C$13+(A586-1)*7+MATCH(B586,{"Lunes","Martes","Miércoles","Jueves","Viernes","Sábado","Domingo"},0)-1)</f>
        <v/>
      </c>
    </row>
    <row r="587" customFormat="false" ht="15" hidden="false" customHeight="false" outlineLevel="0" collapsed="false">
      <c r="G587" s="23" t="str">
        <f aca="false">IF(OR(D587="",E587=""),"",E587*IFERROR(VLOOKUP(F587,Perfil!$B$19:$C$24,2,0),1))</f>
        <v/>
      </c>
      <c r="H587" s="23" t="str">
        <f aca="false">IF(G587="","",G587/100*INDEX(Alimentos!$E$5:$E$40,MATCH($D587,Alimentos!$B$5:$B$40,0)))</f>
        <v/>
      </c>
      <c r="I587" s="23" t="str">
        <f aca="false">IF(G587="","",G587/100*INDEX(Alimentos!$F$5:$F$40,MATCH($D587,Alimentos!$B$5:$B$40,0)))</f>
        <v/>
      </c>
      <c r="J587" s="23" t="str">
        <f aca="false">IF(G587="","",G587/100*INDEX(Alimentos!$G$5:$G$40,MATCH($D587,Alimentos!$B$5:$B$40,0)))</f>
        <v/>
      </c>
      <c r="K587" s="23" t="str">
        <f aca="false">IF(G587="","",G587/100*INDEX(Alimentos!$H$5:$H$40,MATCH($D587,Alimentos!$B$5:$B$40,0)))</f>
        <v/>
      </c>
      <c r="L587" s="24" t="str">
        <f aca="false">IF(OR(A587="",B587=""),"",Perfil!$C$13+(A587-1)*7+MATCH(B587,{"Lunes","Martes","Miércoles","Jueves","Viernes","Sábado","Domingo"},0)-1)</f>
        <v/>
      </c>
    </row>
    <row r="588" customFormat="false" ht="15" hidden="false" customHeight="false" outlineLevel="0" collapsed="false">
      <c r="G588" s="23" t="str">
        <f aca="false">IF(OR(D588="",E588=""),"",E588*IFERROR(VLOOKUP(F588,Perfil!$B$19:$C$24,2,0),1))</f>
        <v/>
      </c>
      <c r="H588" s="23" t="str">
        <f aca="false">IF(G588="","",G588/100*INDEX(Alimentos!$E$5:$E$40,MATCH($D588,Alimentos!$B$5:$B$40,0)))</f>
        <v/>
      </c>
      <c r="I588" s="23" t="str">
        <f aca="false">IF(G588="","",G588/100*INDEX(Alimentos!$F$5:$F$40,MATCH($D588,Alimentos!$B$5:$B$40,0)))</f>
        <v/>
      </c>
      <c r="J588" s="23" t="str">
        <f aca="false">IF(G588="","",G588/100*INDEX(Alimentos!$G$5:$G$40,MATCH($D588,Alimentos!$B$5:$B$40,0)))</f>
        <v/>
      </c>
      <c r="K588" s="23" t="str">
        <f aca="false">IF(G588="","",G588/100*INDEX(Alimentos!$H$5:$H$40,MATCH($D588,Alimentos!$B$5:$B$40,0)))</f>
        <v/>
      </c>
      <c r="L588" s="24" t="str">
        <f aca="false">IF(OR(A588="",B588=""),"",Perfil!$C$13+(A588-1)*7+MATCH(B588,{"Lunes","Martes","Miércoles","Jueves","Viernes","Sábado","Domingo"},0)-1)</f>
        <v/>
      </c>
    </row>
    <row r="589" customFormat="false" ht="15" hidden="false" customHeight="false" outlineLevel="0" collapsed="false">
      <c r="G589" s="23" t="str">
        <f aca="false">IF(OR(D589="",E589=""),"",E589*IFERROR(VLOOKUP(F589,Perfil!$B$19:$C$24,2,0),1))</f>
        <v/>
      </c>
      <c r="H589" s="23" t="str">
        <f aca="false">IF(G589="","",G589/100*INDEX(Alimentos!$E$5:$E$40,MATCH($D589,Alimentos!$B$5:$B$40,0)))</f>
        <v/>
      </c>
      <c r="I589" s="23" t="str">
        <f aca="false">IF(G589="","",G589/100*INDEX(Alimentos!$F$5:$F$40,MATCH($D589,Alimentos!$B$5:$B$40,0)))</f>
        <v/>
      </c>
      <c r="J589" s="23" t="str">
        <f aca="false">IF(G589="","",G589/100*INDEX(Alimentos!$G$5:$G$40,MATCH($D589,Alimentos!$B$5:$B$40,0)))</f>
        <v/>
      </c>
      <c r="K589" s="23" t="str">
        <f aca="false">IF(G589="","",G589/100*INDEX(Alimentos!$H$5:$H$40,MATCH($D589,Alimentos!$B$5:$B$40,0)))</f>
        <v/>
      </c>
      <c r="L589" s="24" t="str">
        <f aca="false">IF(OR(A589="",B589=""),"",Perfil!$C$13+(A589-1)*7+MATCH(B589,{"Lunes","Martes","Miércoles","Jueves","Viernes","Sábado","Domingo"},0)-1)</f>
        <v/>
      </c>
    </row>
    <row r="590" customFormat="false" ht="15" hidden="false" customHeight="false" outlineLevel="0" collapsed="false">
      <c r="G590" s="23" t="str">
        <f aca="false">IF(OR(D590="",E590=""),"",E590*IFERROR(VLOOKUP(F590,Perfil!$B$19:$C$24,2,0),1))</f>
        <v/>
      </c>
      <c r="H590" s="23" t="str">
        <f aca="false">IF(G590="","",G590/100*INDEX(Alimentos!$E$5:$E$40,MATCH($D590,Alimentos!$B$5:$B$40,0)))</f>
        <v/>
      </c>
      <c r="I590" s="23" t="str">
        <f aca="false">IF(G590="","",G590/100*INDEX(Alimentos!$F$5:$F$40,MATCH($D590,Alimentos!$B$5:$B$40,0)))</f>
        <v/>
      </c>
      <c r="J590" s="23" t="str">
        <f aca="false">IF(G590="","",G590/100*INDEX(Alimentos!$G$5:$G$40,MATCH($D590,Alimentos!$B$5:$B$40,0)))</f>
        <v/>
      </c>
      <c r="K590" s="23" t="str">
        <f aca="false">IF(G590="","",G590/100*INDEX(Alimentos!$H$5:$H$40,MATCH($D590,Alimentos!$B$5:$B$40,0)))</f>
        <v/>
      </c>
      <c r="L590" s="24" t="str">
        <f aca="false">IF(OR(A590="",B590=""),"",Perfil!$C$13+(A590-1)*7+MATCH(B590,{"Lunes","Martes","Miércoles","Jueves","Viernes","Sábado","Domingo"},0)-1)</f>
        <v/>
      </c>
    </row>
    <row r="591" customFormat="false" ht="15" hidden="false" customHeight="false" outlineLevel="0" collapsed="false">
      <c r="G591" s="23" t="str">
        <f aca="false">IF(OR(D591="",E591=""),"",E591*IFERROR(VLOOKUP(F591,Perfil!$B$19:$C$24,2,0),1))</f>
        <v/>
      </c>
      <c r="H591" s="23" t="str">
        <f aca="false">IF(G591="","",G591/100*INDEX(Alimentos!$E$5:$E$40,MATCH($D591,Alimentos!$B$5:$B$40,0)))</f>
        <v/>
      </c>
      <c r="I591" s="23" t="str">
        <f aca="false">IF(G591="","",G591/100*INDEX(Alimentos!$F$5:$F$40,MATCH($D591,Alimentos!$B$5:$B$40,0)))</f>
        <v/>
      </c>
      <c r="J591" s="23" t="str">
        <f aca="false">IF(G591="","",G591/100*INDEX(Alimentos!$G$5:$G$40,MATCH($D591,Alimentos!$B$5:$B$40,0)))</f>
        <v/>
      </c>
      <c r="K591" s="23" t="str">
        <f aca="false">IF(G591="","",G591/100*INDEX(Alimentos!$H$5:$H$40,MATCH($D591,Alimentos!$B$5:$B$40,0)))</f>
        <v/>
      </c>
      <c r="L591" s="24" t="str">
        <f aca="false">IF(OR(A591="",B591=""),"",Perfil!$C$13+(A591-1)*7+MATCH(B591,{"Lunes","Martes","Miércoles","Jueves","Viernes","Sábado","Domingo"},0)-1)</f>
        <v/>
      </c>
    </row>
    <row r="592" customFormat="false" ht="15" hidden="false" customHeight="false" outlineLevel="0" collapsed="false">
      <c r="G592" s="23" t="str">
        <f aca="false">IF(OR(D592="",E592=""),"",E592*IFERROR(VLOOKUP(F592,Perfil!$B$19:$C$24,2,0),1))</f>
        <v/>
      </c>
      <c r="H592" s="23" t="str">
        <f aca="false">IF(G592="","",G592/100*INDEX(Alimentos!$E$5:$E$40,MATCH($D592,Alimentos!$B$5:$B$40,0)))</f>
        <v/>
      </c>
      <c r="I592" s="23" t="str">
        <f aca="false">IF(G592="","",G592/100*INDEX(Alimentos!$F$5:$F$40,MATCH($D592,Alimentos!$B$5:$B$40,0)))</f>
        <v/>
      </c>
      <c r="J592" s="23" t="str">
        <f aca="false">IF(G592="","",G592/100*INDEX(Alimentos!$G$5:$G$40,MATCH($D592,Alimentos!$B$5:$B$40,0)))</f>
        <v/>
      </c>
      <c r="K592" s="23" t="str">
        <f aca="false">IF(G592="","",G592/100*INDEX(Alimentos!$H$5:$H$40,MATCH($D592,Alimentos!$B$5:$B$40,0)))</f>
        <v/>
      </c>
      <c r="L592" s="24" t="str">
        <f aca="false">IF(OR(A592="",B592=""),"",Perfil!$C$13+(A592-1)*7+MATCH(B592,{"Lunes","Martes","Miércoles","Jueves","Viernes","Sábado","Domingo"},0)-1)</f>
        <v/>
      </c>
    </row>
    <row r="593" customFormat="false" ht="15" hidden="false" customHeight="false" outlineLevel="0" collapsed="false">
      <c r="G593" s="23" t="str">
        <f aca="false">IF(OR(D593="",E593=""),"",E593*IFERROR(VLOOKUP(F593,Perfil!$B$19:$C$24,2,0),1))</f>
        <v/>
      </c>
      <c r="H593" s="23" t="str">
        <f aca="false">IF(G593="","",G593/100*INDEX(Alimentos!$E$5:$E$40,MATCH($D593,Alimentos!$B$5:$B$40,0)))</f>
        <v/>
      </c>
      <c r="I593" s="23" t="str">
        <f aca="false">IF(G593="","",G593/100*INDEX(Alimentos!$F$5:$F$40,MATCH($D593,Alimentos!$B$5:$B$40,0)))</f>
        <v/>
      </c>
      <c r="J593" s="23" t="str">
        <f aca="false">IF(G593="","",G593/100*INDEX(Alimentos!$G$5:$G$40,MATCH($D593,Alimentos!$B$5:$B$40,0)))</f>
        <v/>
      </c>
      <c r="K593" s="23" t="str">
        <f aca="false">IF(G593="","",G593/100*INDEX(Alimentos!$H$5:$H$40,MATCH($D593,Alimentos!$B$5:$B$40,0)))</f>
        <v/>
      </c>
      <c r="L593" s="24" t="str">
        <f aca="false">IF(OR(A593="",B593=""),"",Perfil!$C$13+(A593-1)*7+MATCH(B593,{"Lunes","Martes","Miércoles","Jueves","Viernes","Sábado","Domingo"},0)-1)</f>
        <v/>
      </c>
    </row>
    <row r="594" customFormat="false" ht="15" hidden="false" customHeight="false" outlineLevel="0" collapsed="false">
      <c r="G594" s="23" t="str">
        <f aca="false">IF(OR(D594="",E594=""),"",E594*IFERROR(VLOOKUP(F594,Perfil!$B$19:$C$24,2,0),1))</f>
        <v/>
      </c>
      <c r="H594" s="23" t="str">
        <f aca="false">IF(G594="","",G594/100*INDEX(Alimentos!$E$5:$E$40,MATCH($D594,Alimentos!$B$5:$B$40,0)))</f>
        <v/>
      </c>
      <c r="I594" s="23" t="str">
        <f aca="false">IF(G594="","",G594/100*INDEX(Alimentos!$F$5:$F$40,MATCH($D594,Alimentos!$B$5:$B$40,0)))</f>
        <v/>
      </c>
      <c r="J594" s="23" t="str">
        <f aca="false">IF(G594="","",G594/100*INDEX(Alimentos!$G$5:$G$40,MATCH($D594,Alimentos!$B$5:$B$40,0)))</f>
        <v/>
      </c>
      <c r="K594" s="23" t="str">
        <f aca="false">IF(G594="","",G594/100*INDEX(Alimentos!$H$5:$H$40,MATCH($D594,Alimentos!$B$5:$B$40,0)))</f>
        <v/>
      </c>
      <c r="L594" s="24" t="str">
        <f aca="false">IF(OR(A594="",B594=""),"",Perfil!$C$13+(A594-1)*7+MATCH(B594,{"Lunes","Martes","Miércoles","Jueves","Viernes","Sábado","Domingo"},0)-1)</f>
        <v/>
      </c>
    </row>
    <row r="595" customFormat="false" ht="15" hidden="false" customHeight="false" outlineLevel="0" collapsed="false">
      <c r="G595" s="23" t="str">
        <f aca="false">IF(OR(D595="",E595=""),"",E595*IFERROR(VLOOKUP(F595,Perfil!$B$19:$C$24,2,0),1))</f>
        <v/>
      </c>
      <c r="H595" s="23" t="str">
        <f aca="false">IF(G595="","",G595/100*INDEX(Alimentos!$E$5:$E$40,MATCH($D595,Alimentos!$B$5:$B$40,0)))</f>
        <v/>
      </c>
      <c r="I595" s="23" t="str">
        <f aca="false">IF(G595="","",G595/100*INDEX(Alimentos!$F$5:$F$40,MATCH($D595,Alimentos!$B$5:$B$40,0)))</f>
        <v/>
      </c>
      <c r="J595" s="23" t="str">
        <f aca="false">IF(G595="","",G595/100*INDEX(Alimentos!$G$5:$G$40,MATCH($D595,Alimentos!$B$5:$B$40,0)))</f>
        <v/>
      </c>
      <c r="K595" s="23" t="str">
        <f aca="false">IF(G595="","",G595/100*INDEX(Alimentos!$H$5:$H$40,MATCH($D595,Alimentos!$B$5:$B$40,0)))</f>
        <v/>
      </c>
      <c r="L595" s="24" t="str">
        <f aca="false">IF(OR(A595="",B595=""),"",Perfil!$C$13+(A595-1)*7+MATCH(B595,{"Lunes","Martes","Miércoles","Jueves","Viernes","Sábado","Domingo"},0)-1)</f>
        <v/>
      </c>
    </row>
    <row r="596" customFormat="false" ht="15" hidden="false" customHeight="false" outlineLevel="0" collapsed="false">
      <c r="G596" s="23" t="str">
        <f aca="false">IF(OR(D596="",E596=""),"",E596*IFERROR(VLOOKUP(F596,Perfil!$B$19:$C$24,2,0),1))</f>
        <v/>
      </c>
      <c r="H596" s="23" t="str">
        <f aca="false">IF(G596="","",G596/100*INDEX(Alimentos!$E$5:$E$40,MATCH($D596,Alimentos!$B$5:$B$40,0)))</f>
        <v/>
      </c>
      <c r="I596" s="23" t="str">
        <f aca="false">IF(G596="","",G596/100*INDEX(Alimentos!$F$5:$F$40,MATCH($D596,Alimentos!$B$5:$B$40,0)))</f>
        <v/>
      </c>
      <c r="J596" s="23" t="str">
        <f aca="false">IF(G596="","",G596/100*INDEX(Alimentos!$G$5:$G$40,MATCH($D596,Alimentos!$B$5:$B$40,0)))</f>
        <v/>
      </c>
      <c r="K596" s="23" t="str">
        <f aca="false">IF(G596="","",G596/100*INDEX(Alimentos!$H$5:$H$40,MATCH($D596,Alimentos!$B$5:$B$40,0)))</f>
        <v/>
      </c>
      <c r="L596" s="24" t="str">
        <f aca="false">IF(OR(A596="",B596=""),"",Perfil!$C$13+(A596-1)*7+MATCH(B596,{"Lunes","Martes","Miércoles","Jueves","Viernes","Sábado","Domingo"},0)-1)</f>
        <v/>
      </c>
    </row>
    <row r="597" customFormat="false" ht="15" hidden="false" customHeight="false" outlineLevel="0" collapsed="false">
      <c r="G597" s="23" t="str">
        <f aca="false">IF(OR(D597="",E597=""),"",E597*IFERROR(VLOOKUP(F597,Perfil!$B$19:$C$24,2,0),1))</f>
        <v/>
      </c>
      <c r="H597" s="23" t="str">
        <f aca="false">IF(G597="","",G597/100*INDEX(Alimentos!$E$5:$E$40,MATCH($D597,Alimentos!$B$5:$B$40,0)))</f>
        <v/>
      </c>
      <c r="I597" s="23" t="str">
        <f aca="false">IF(G597="","",G597/100*INDEX(Alimentos!$F$5:$F$40,MATCH($D597,Alimentos!$B$5:$B$40,0)))</f>
        <v/>
      </c>
      <c r="J597" s="23" t="str">
        <f aca="false">IF(G597="","",G597/100*INDEX(Alimentos!$G$5:$G$40,MATCH($D597,Alimentos!$B$5:$B$40,0)))</f>
        <v/>
      </c>
      <c r="K597" s="23" t="str">
        <f aca="false">IF(G597="","",G597/100*INDEX(Alimentos!$H$5:$H$40,MATCH($D597,Alimentos!$B$5:$B$40,0)))</f>
        <v/>
      </c>
      <c r="L597" s="24" t="str">
        <f aca="false">IF(OR(A597="",B597=""),"",Perfil!$C$13+(A597-1)*7+MATCH(B597,{"Lunes","Martes","Miércoles","Jueves","Viernes","Sábado","Domingo"},0)-1)</f>
        <v/>
      </c>
    </row>
    <row r="598" customFormat="false" ht="15" hidden="false" customHeight="false" outlineLevel="0" collapsed="false">
      <c r="G598" s="23" t="str">
        <f aca="false">IF(OR(D598="",E598=""),"",E598*IFERROR(VLOOKUP(F598,Perfil!$B$19:$C$24,2,0),1))</f>
        <v/>
      </c>
      <c r="H598" s="23" t="str">
        <f aca="false">IF(G598="","",G598/100*INDEX(Alimentos!$E$5:$E$40,MATCH($D598,Alimentos!$B$5:$B$40,0)))</f>
        <v/>
      </c>
      <c r="I598" s="23" t="str">
        <f aca="false">IF(G598="","",G598/100*INDEX(Alimentos!$F$5:$F$40,MATCH($D598,Alimentos!$B$5:$B$40,0)))</f>
        <v/>
      </c>
      <c r="J598" s="23" t="str">
        <f aca="false">IF(G598="","",G598/100*INDEX(Alimentos!$G$5:$G$40,MATCH($D598,Alimentos!$B$5:$B$40,0)))</f>
        <v/>
      </c>
      <c r="K598" s="23" t="str">
        <f aca="false">IF(G598="","",G598/100*INDEX(Alimentos!$H$5:$H$40,MATCH($D598,Alimentos!$B$5:$B$40,0)))</f>
        <v/>
      </c>
      <c r="L598" s="24" t="str">
        <f aca="false">IF(OR(A598="",B598=""),"",Perfil!$C$13+(A598-1)*7+MATCH(B598,{"Lunes","Martes","Miércoles","Jueves","Viernes","Sábado","Domingo"},0)-1)</f>
        <v/>
      </c>
    </row>
    <row r="599" customFormat="false" ht="15" hidden="false" customHeight="false" outlineLevel="0" collapsed="false">
      <c r="G599" s="23" t="str">
        <f aca="false">IF(OR(D599="",E599=""),"",E599*IFERROR(VLOOKUP(F599,Perfil!$B$19:$C$24,2,0),1))</f>
        <v/>
      </c>
      <c r="H599" s="23" t="str">
        <f aca="false">IF(G599="","",G599/100*INDEX(Alimentos!$E$5:$E$40,MATCH($D599,Alimentos!$B$5:$B$40,0)))</f>
        <v/>
      </c>
      <c r="I599" s="23" t="str">
        <f aca="false">IF(G599="","",G599/100*INDEX(Alimentos!$F$5:$F$40,MATCH($D599,Alimentos!$B$5:$B$40,0)))</f>
        <v/>
      </c>
      <c r="J599" s="23" t="str">
        <f aca="false">IF(G599="","",G599/100*INDEX(Alimentos!$G$5:$G$40,MATCH($D599,Alimentos!$B$5:$B$40,0)))</f>
        <v/>
      </c>
      <c r="K599" s="23" t="str">
        <f aca="false">IF(G599="","",G599/100*INDEX(Alimentos!$H$5:$H$40,MATCH($D599,Alimentos!$B$5:$B$40,0)))</f>
        <v/>
      </c>
      <c r="L599" s="24" t="str">
        <f aca="false">IF(OR(A599="",B599=""),"",Perfil!$C$13+(A599-1)*7+MATCH(B599,{"Lunes","Martes","Miércoles","Jueves","Viernes","Sábado","Domingo"},0)-1)</f>
        <v/>
      </c>
    </row>
    <row r="600" customFormat="false" ht="15" hidden="false" customHeight="false" outlineLevel="0" collapsed="false">
      <c r="G600" s="23" t="str">
        <f aca="false">IF(OR(D600="",E600=""),"",E600*IFERROR(VLOOKUP(F600,Perfil!$B$19:$C$24,2,0),1))</f>
        <v/>
      </c>
      <c r="H600" s="23" t="str">
        <f aca="false">IF(G600="","",G600/100*INDEX(Alimentos!$E$5:$E$40,MATCH($D600,Alimentos!$B$5:$B$40,0)))</f>
        <v/>
      </c>
      <c r="I600" s="23" t="str">
        <f aca="false">IF(G600="","",G600/100*INDEX(Alimentos!$F$5:$F$40,MATCH($D600,Alimentos!$B$5:$B$40,0)))</f>
        <v/>
      </c>
      <c r="J600" s="23" t="str">
        <f aca="false">IF(G600="","",G600/100*INDEX(Alimentos!$G$5:$G$40,MATCH($D600,Alimentos!$B$5:$B$40,0)))</f>
        <v/>
      </c>
      <c r="K600" s="23" t="str">
        <f aca="false">IF(G600="","",G600/100*INDEX(Alimentos!$H$5:$H$40,MATCH($D600,Alimentos!$B$5:$B$40,0)))</f>
        <v/>
      </c>
      <c r="L600" s="24" t="str">
        <f aca="false">IF(OR(A600="",B600=""),"",Perfil!$C$13+(A600-1)*7+MATCH(B600,{"Lunes","Martes","Miércoles","Jueves","Viernes","Sábado","Domingo"},0)-1)</f>
        <v/>
      </c>
    </row>
    <row r="601" customFormat="false" ht="15" hidden="false" customHeight="false" outlineLevel="0" collapsed="false">
      <c r="G601" s="23" t="str">
        <f aca="false">IF(OR(D601="",E601=""),"",E601*IFERROR(VLOOKUP(F601,Perfil!$B$19:$C$24,2,0),1))</f>
        <v/>
      </c>
      <c r="H601" s="23" t="str">
        <f aca="false">IF(G601="","",G601/100*INDEX(Alimentos!$E$5:$E$40,MATCH($D601,Alimentos!$B$5:$B$40,0)))</f>
        <v/>
      </c>
      <c r="I601" s="23" t="str">
        <f aca="false">IF(G601="","",G601/100*INDEX(Alimentos!$F$5:$F$40,MATCH($D601,Alimentos!$B$5:$B$40,0)))</f>
        <v/>
      </c>
      <c r="J601" s="23" t="str">
        <f aca="false">IF(G601="","",G601/100*INDEX(Alimentos!$G$5:$G$40,MATCH($D601,Alimentos!$B$5:$B$40,0)))</f>
        <v/>
      </c>
      <c r="K601" s="23" t="str">
        <f aca="false">IF(G601="","",G601/100*INDEX(Alimentos!$H$5:$H$40,MATCH($D601,Alimentos!$B$5:$B$40,0)))</f>
        <v/>
      </c>
      <c r="L601" s="24" t="str">
        <f aca="false">IF(OR(A601="",B601=""),"",Perfil!$C$13+(A601-1)*7+MATCH(B601,{"Lunes","Martes","Miércoles","Jueves","Viernes","Sábado","Domingo"},0)-1)</f>
        <v/>
      </c>
    </row>
    <row r="602" customFormat="false" ht="15" hidden="false" customHeight="false" outlineLevel="0" collapsed="false">
      <c r="G602" s="23" t="str">
        <f aca="false">IF(OR(D602="",E602=""),"",E602*IFERROR(VLOOKUP(F602,Perfil!$B$19:$C$24,2,0),1))</f>
        <v/>
      </c>
      <c r="H602" s="23" t="str">
        <f aca="false">IF(G602="","",G602/100*INDEX(Alimentos!$E$5:$E$40,MATCH($D602,Alimentos!$B$5:$B$40,0)))</f>
        <v/>
      </c>
      <c r="I602" s="23" t="str">
        <f aca="false">IF(G602="","",G602/100*INDEX(Alimentos!$F$5:$F$40,MATCH($D602,Alimentos!$B$5:$B$40,0)))</f>
        <v/>
      </c>
      <c r="J602" s="23" t="str">
        <f aca="false">IF(G602="","",G602/100*INDEX(Alimentos!$G$5:$G$40,MATCH($D602,Alimentos!$B$5:$B$40,0)))</f>
        <v/>
      </c>
      <c r="K602" s="23" t="str">
        <f aca="false">IF(G602="","",G602/100*INDEX(Alimentos!$H$5:$H$40,MATCH($D602,Alimentos!$B$5:$B$40,0)))</f>
        <v/>
      </c>
      <c r="L602" s="24" t="str">
        <f aca="false">IF(OR(A602="",B602=""),"",Perfil!$C$13+(A602-1)*7+MATCH(B602,{"Lunes","Martes","Miércoles","Jueves","Viernes","Sábado","Domingo"},0)-1)</f>
        <v/>
      </c>
    </row>
    <row r="603" customFormat="false" ht="15" hidden="false" customHeight="false" outlineLevel="0" collapsed="false">
      <c r="G603" s="23" t="str">
        <f aca="false">IF(OR(D603="",E603=""),"",E603*IFERROR(VLOOKUP(F603,Perfil!$B$19:$C$24,2,0),1))</f>
        <v/>
      </c>
      <c r="H603" s="23" t="str">
        <f aca="false">IF(G603="","",G603/100*INDEX(Alimentos!$E$5:$E$40,MATCH($D603,Alimentos!$B$5:$B$40,0)))</f>
        <v/>
      </c>
      <c r="I603" s="23" t="str">
        <f aca="false">IF(G603="","",G603/100*INDEX(Alimentos!$F$5:$F$40,MATCH($D603,Alimentos!$B$5:$B$40,0)))</f>
        <v/>
      </c>
      <c r="J603" s="23" t="str">
        <f aca="false">IF(G603="","",G603/100*INDEX(Alimentos!$G$5:$G$40,MATCH($D603,Alimentos!$B$5:$B$40,0)))</f>
        <v/>
      </c>
      <c r="K603" s="23" t="str">
        <f aca="false">IF(G603="","",G603/100*INDEX(Alimentos!$H$5:$H$40,MATCH($D603,Alimentos!$B$5:$B$40,0)))</f>
        <v/>
      </c>
      <c r="L603" s="24" t="str">
        <f aca="false">IF(OR(A603="",B603=""),"",Perfil!$C$13+(A603-1)*7+MATCH(B603,{"Lunes","Martes","Miércoles","Jueves","Viernes","Sábado","Domingo"},0)-1)</f>
        <v/>
      </c>
    </row>
    <row r="604" customFormat="false" ht="15" hidden="false" customHeight="false" outlineLevel="0" collapsed="false">
      <c r="G604" s="23" t="str">
        <f aca="false">IF(OR(D604="",E604=""),"",E604*IFERROR(VLOOKUP(F604,Perfil!$B$19:$C$24,2,0),1))</f>
        <v/>
      </c>
      <c r="H604" s="23" t="str">
        <f aca="false">IF(G604="","",G604/100*INDEX(Alimentos!$E$5:$E$40,MATCH($D604,Alimentos!$B$5:$B$40,0)))</f>
        <v/>
      </c>
      <c r="I604" s="23" t="str">
        <f aca="false">IF(G604="","",G604/100*INDEX(Alimentos!$F$5:$F$40,MATCH($D604,Alimentos!$B$5:$B$40,0)))</f>
        <v/>
      </c>
      <c r="J604" s="23" t="str">
        <f aca="false">IF(G604="","",G604/100*INDEX(Alimentos!$G$5:$G$40,MATCH($D604,Alimentos!$B$5:$B$40,0)))</f>
        <v/>
      </c>
      <c r="K604" s="23" t="str">
        <f aca="false">IF(G604="","",G604/100*INDEX(Alimentos!$H$5:$H$40,MATCH($D604,Alimentos!$B$5:$B$40,0)))</f>
        <v/>
      </c>
      <c r="L604" s="24" t="str">
        <f aca="false">IF(OR(A604="",B604=""),"",Perfil!$C$13+(A604-1)*7+MATCH(B604,{"Lunes","Martes","Miércoles","Jueves","Viernes","Sábado","Domingo"},0)-1)</f>
        <v/>
      </c>
    </row>
    <row r="605" customFormat="false" ht="15" hidden="false" customHeight="false" outlineLevel="0" collapsed="false">
      <c r="G605" s="23" t="str">
        <f aca="false">IF(OR(D605="",E605=""),"",E605*IFERROR(VLOOKUP(F605,Perfil!$B$19:$C$24,2,0),1))</f>
        <v/>
      </c>
      <c r="H605" s="23" t="str">
        <f aca="false">IF(G605="","",G605/100*INDEX(Alimentos!$E$5:$E$40,MATCH($D605,Alimentos!$B$5:$B$40,0)))</f>
        <v/>
      </c>
      <c r="I605" s="23" t="str">
        <f aca="false">IF(G605="","",G605/100*INDEX(Alimentos!$F$5:$F$40,MATCH($D605,Alimentos!$B$5:$B$40,0)))</f>
        <v/>
      </c>
      <c r="J605" s="23" t="str">
        <f aca="false">IF(G605="","",G605/100*INDEX(Alimentos!$G$5:$G$40,MATCH($D605,Alimentos!$B$5:$B$40,0)))</f>
        <v/>
      </c>
      <c r="K605" s="23" t="str">
        <f aca="false">IF(G605="","",G605/100*INDEX(Alimentos!$H$5:$H$40,MATCH($D605,Alimentos!$B$5:$B$40,0)))</f>
        <v/>
      </c>
      <c r="L605" s="24" t="str">
        <f aca="false">IF(OR(A605="",B605=""),"",Perfil!$C$13+(A605-1)*7+MATCH(B605,{"Lunes","Martes","Miércoles","Jueves","Viernes","Sábado","Domingo"},0)-1)</f>
        <v/>
      </c>
    </row>
    <row r="606" customFormat="false" ht="15" hidden="false" customHeight="false" outlineLevel="0" collapsed="false">
      <c r="G606" s="23" t="str">
        <f aca="false">IF(OR(D606="",E606=""),"",E606*IFERROR(VLOOKUP(F606,Perfil!$B$19:$C$24,2,0),1))</f>
        <v/>
      </c>
      <c r="H606" s="23" t="str">
        <f aca="false">IF(G606="","",G606/100*INDEX(Alimentos!$E$5:$E$40,MATCH($D606,Alimentos!$B$5:$B$40,0)))</f>
        <v/>
      </c>
      <c r="I606" s="23" t="str">
        <f aca="false">IF(G606="","",G606/100*INDEX(Alimentos!$F$5:$F$40,MATCH($D606,Alimentos!$B$5:$B$40,0)))</f>
        <v/>
      </c>
      <c r="J606" s="23" t="str">
        <f aca="false">IF(G606="","",G606/100*INDEX(Alimentos!$G$5:$G$40,MATCH($D606,Alimentos!$B$5:$B$40,0)))</f>
        <v/>
      </c>
      <c r="K606" s="23" t="str">
        <f aca="false">IF(G606="","",G606/100*INDEX(Alimentos!$H$5:$H$40,MATCH($D606,Alimentos!$B$5:$B$40,0)))</f>
        <v/>
      </c>
      <c r="L606" s="24" t="str">
        <f aca="false">IF(OR(A606="",B606=""),"",Perfil!$C$13+(A606-1)*7+MATCH(B606,{"Lunes","Martes","Miércoles","Jueves","Viernes","Sábado","Domingo"},0)-1)</f>
        <v/>
      </c>
    </row>
    <row r="607" customFormat="false" ht="15" hidden="false" customHeight="false" outlineLevel="0" collapsed="false">
      <c r="G607" s="23" t="str">
        <f aca="false">IF(OR(D607="",E607=""),"",E607*IFERROR(VLOOKUP(F607,Perfil!$B$19:$C$24,2,0),1))</f>
        <v/>
      </c>
      <c r="H607" s="23" t="str">
        <f aca="false">IF(G607="","",G607/100*INDEX(Alimentos!$E$5:$E$40,MATCH($D607,Alimentos!$B$5:$B$40,0)))</f>
        <v/>
      </c>
      <c r="I607" s="23" t="str">
        <f aca="false">IF(G607="","",G607/100*INDEX(Alimentos!$F$5:$F$40,MATCH($D607,Alimentos!$B$5:$B$40,0)))</f>
        <v/>
      </c>
      <c r="J607" s="23" t="str">
        <f aca="false">IF(G607="","",G607/100*INDEX(Alimentos!$G$5:$G$40,MATCH($D607,Alimentos!$B$5:$B$40,0)))</f>
        <v/>
      </c>
      <c r="K607" s="23" t="str">
        <f aca="false">IF(G607="","",G607/100*INDEX(Alimentos!$H$5:$H$40,MATCH($D607,Alimentos!$B$5:$B$40,0)))</f>
        <v/>
      </c>
      <c r="L607" s="24" t="str">
        <f aca="false">IF(OR(A607="",B607=""),"",Perfil!$C$13+(A607-1)*7+MATCH(B607,{"Lunes","Martes","Miércoles","Jueves","Viernes","Sábado","Domingo"},0)-1)</f>
        <v/>
      </c>
    </row>
    <row r="608" customFormat="false" ht="15" hidden="false" customHeight="false" outlineLevel="0" collapsed="false">
      <c r="G608" s="23" t="str">
        <f aca="false">IF(OR(D608="",E608=""),"",E608*IFERROR(VLOOKUP(F608,Perfil!$B$19:$C$24,2,0),1))</f>
        <v/>
      </c>
      <c r="H608" s="23" t="str">
        <f aca="false">IF(G608="","",G608/100*INDEX(Alimentos!$E$5:$E$40,MATCH($D608,Alimentos!$B$5:$B$40,0)))</f>
        <v/>
      </c>
      <c r="I608" s="23" t="str">
        <f aca="false">IF(G608="","",G608/100*INDEX(Alimentos!$F$5:$F$40,MATCH($D608,Alimentos!$B$5:$B$40,0)))</f>
        <v/>
      </c>
      <c r="J608" s="23" t="str">
        <f aca="false">IF(G608="","",G608/100*INDEX(Alimentos!$G$5:$G$40,MATCH($D608,Alimentos!$B$5:$B$40,0)))</f>
        <v/>
      </c>
      <c r="K608" s="23" t="str">
        <f aca="false">IF(G608="","",G608/100*INDEX(Alimentos!$H$5:$H$40,MATCH($D608,Alimentos!$B$5:$B$40,0)))</f>
        <v/>
      </c>
      <c r="L608" s="24" t="str">
        <f aca="false">IF(OR(A608="",B608=""),"",Perfil!$C$13+(A608-1)*7+MATCH(B608,{"Lunes","Martes","Miércoles","Jueves","Viernes","Sábado","Domingo"},0)-1)</f>
        <v/>
      </c>
    </row>
    <row r="609" customFormat="false" ht="15" hidden="false" customHeight="false" outlineLevel="0" collapsed="false">
      <c r="G609" s="23" t="str">
        <f aca="false">IF(OR(D609="",E609=""),"",E609*IFERROR(VLOOKUP(F609,Perfil!$B$19:$C$24,2,0),1))</f>
        <v/>
      </c>
      <c r="H609" s="23" t="str">
        <f aca="false">IF(G609="","",G609/100*INDEX(Alimentos!$E$5:$E$40,MATCH($D609,Alimentos!$B$5:$B$40,0)))</f>
        <v/>
      </c>
      <c r="I609" s="23" t="str">
        <f aca="false">IF(G609="","",G609/100*INDEX(Alimentos!$F$5:$F$40,MATCH($D609,Alimentos!$B$5:$B$40,0)))</f>
        <v/>
      </c>
      <c r="J609" s="23" t="str">
        <f aca="false">IF(G609="","",G609/100*INDEX(Alimentos!$G$5:$G$40,MATCH($D609,Alimentos!$B$5:$B$40,0)))</f>
        <v/>
      </c>
      <c r="K609" s="23" t="str">
        <f aca="false">IF(G609="","",G609/100*INDEX(Alimentos!$H$5:$H$40,MATCH($D609,Alimentos!$B$5:$B$40,0)))</f>
        <v/>
      </c>
      <c r="L609" s="24" t="str">
        <f aca="false">IF(OR(A609="",B609=""),"",Perfil!$C$13+(A609-1)*7+MATCH(B609,{"Lunes","Martes","Miércoles","Jueves","Viernes","Sábado","Domingo"},0)-1)</f>
        <v/>
      </c>
    </row>
    <row r="610" customFormat="false" ht="15" hidden="false" customHeight="false" outlineLevel="0" collapsed="false">
      <c r="G610" s="23" t="str">
        <f aca="false">IF(OR(D610="",E610=""),"",E610*IFERROR(VLOOKUP(F610,Perfil!$B$19:$C$24,2,0),1))</f>
        <v/>
      </c>
      <c r="H610" s="23" t="str">
        <f aca="false">IF(G610="","",G610/100*INDEX(Alimentos!$E$5:$E$40,MATCH($D610,Alimentos!$B$5:$B$40,0)))</f>
        <v/>
      </c>
      <c r="I610" s="23" t="str">
        <f aca="false">IF(G610="","",G610/100*INDEX(Alimentos!$F$5:$F$40,MATCH($D610,Alimentos!$B$5:$B$40,0)))</f>
        <v/>
      </c>
      <c r="J610" s="23" t="str">
        <f aca="false">IF(G610="","",G610/100*INDEX(Alimentos!$G$5:$G$40,MATCH($D610,Alimentos!$B$5:$B$40,0)))</f>
        <v/>
      </c>
      <c r="K610" s="23" t="str">
        <f aca="false">IF(G610="","",G610/100*INDEX(Alimentos!$H$5:$H$40,MATCH($D610,Alimentos!$B$5:$B$40,0)))</f>
        <v/>
      </c>
      <c r="L610" s="24" t="str">
        <f aca="false">IF(OR(A610="",B610=""),"",Perfil!$C$13+(A610-1)*7+MATCH(B610,{"Lunes","Martes","Miércoles","Jueves","Viernes","Sábado","Domingo"},0)-1)</f>
        <v/>
      </c>
    </row>
    <row r="611" customFormat="false" ht="15" hidden="false" customHeight="false" outlineLevel="0" collapsed="false">
      <c r="G611" s="23" t="str">
        <f aca="false">IF(OR(D611="",E611=""),"",E611*IFERROR(VLOOKUP(F611,Perfil!$B$19:$C$24,2,0),1))</f>
        <v/>
      </c>
      <c r="H611" s="23" t="str">
        <f aca="false">IF(G611="","",G611/100*INDEX(Alimentos!$E$5:$E$40,MATCH($D611,Alimentos!$B$5:$B$40,0)))</f>
        <v/>
      </c>
      <c r="I611" s="23" t="str">
        <f aca="false">IF(G611="","",G611/100*INDEX(Alimentos!$F$5:$F$40,MATCH($D611,Alimentos!$B$5:$B$40,0)))</f>
        <v/>
      </c>
      <c r="J611" s="23" t="str">
        <f aca="false">IF(G611="","",G611/100*INDEX(Alimentos!$G$5:$G$40,MATCH($D611,Alimentos!$B$5:$B$40,0)))</f>
        <v/>
      </c>
      <c r="K611" s="23" t="str">
        <f aca="false">IF(G611="","",G611/100*INDEX(Alimentos!$H$5:$H$40,MATCH($D611,Alimentos!$B$5:$B$40,0)))</f>
        <v/>
      </c>
      <c r="L611" s="24" t="str">
        <f aca="false">IF(OR(A611="",B611=""),"",Perfil!$C$13+(A611-1)*7+MATCH(B611,{"Lunes","Martes","Miércoles","Jueves","Viernes","Sábado","Domingo"},0)-1)</f>
        <v/>
      </c>
    </row>
    <row r="612" customFormat="false" ht="15" hidden="false" customHeight="false" outlineLevel="0" collapsed="false">
      <c r="G612" s="23" t="str">
        <f aca="false">IF(OR(D612="",E612=""),"",E612*IFERROR(VLOOKUP(F612,Perfil!$B$19:$C$24,2,0),1))</f>
        <v/>
      </c>
      <c r="H612" s="23" t="str">
        <f aca="false">IF(G612="","",G612/100*INDEX(Alimentos!$E$5:$E$40,MATCH($D612,Alimentos!$B$5:$B$40,0)))</f>
        <v/>
      </c>
      <c r="I612" s="23" t="str">
        <f aca="false">IF(G612="","",G612/100*INDEX(Alimentos!$F$5:$F$40,MATCH($D612,Alimentos!$B$5:$B$40,0)))</f>
        <v/>
      </c>
      <c r="J612" s="23" t="str">
        <f aca="false">IF(G612="","",G612/100*INDEX(Alimentos!$G$5:$G$40,MATCH($D612,Alimentos!$B$5:$B$40,0)))</f>
        <v/>
      </c>
      <c r="K612" s="23" t="str">
        <f aca="false">IF(G612="","",G612/100*INDEX(Alimentos!$H$5:$H$40,MATCH($D612,Alimentos!$B$5:$B$40,0)))</f>
        <v/>
      </c>
      <c r="L612" s="24" t="str">
        <f aca="false">IF(OR(A612="",B612=""),"",Perfil!$C$13+(A612-1)*7+MATCH(B612,{"Lunes","Martes","Miércoles","Jueves","Viernes","Sábado","Domingo"},0)-1)</f>
        <v/>
      </c>
    </row>
    <row r="613" customFormat="false" ht="15" hidden="false" customHeight="false" outlineLevel="0" collapsed="false">
      <c r="G613" s="23" t="str">
        <f aca="false">IF(OR(D613="",E613=""),"",E613*IFERROR(VLOOKUP(F613,Perfil!$B$19:$C$24,2,0),1))</f>
        <v/>
      </c>
      <c r="H613" s="23" t="str">
        <f aca="false">IF(G613="","",G613/100*INDEX(Alimentos!$E$5:$E$40,MATCH($D613,Alimentos!$B$5:$B$40,0)))</f>
        <v/>
      </c>
      <c r="I613" s="23" t="str">
        <f aca="false">IF(G613="","",G613/100*INDEX(Alimentos!$F$5:$F$40,MATCH($D613,Alimentos!$B$5:$B$40,0)))</f>
        <v/>
      </c>
      <c r="J613" s="23" t="str">
        <f aca="false">IF(G613="","",G613/100*INDEX(Alimentos!$G$5:$G$40,MATCH($D613,Alimentos!$B$5:$B$40,0)))</f>
        <v/>
      </c>
      <c r="K613" s="23" t="str">
        <f aca="false">IF(G613="","",G613/100*INDEX(Alimentos!$H$5:$H$40,MATCH($D613,Alimentos!$B$5:$B$40,0)))</f>
        <v/>
      </c>
      <c r="L613" s="24" t="str">
        <f aca="false">IF(OR(A613="",B613=""),"",Perfil!$C$13+(A613-1)*7+MATCH(B613,{"Lunes","Martes","Miércoles","Jueves","Viernes","Sábado","Domingo"},0)-1)</f>
        <v/>
      </c>
    </row>
    <row r="614" customFormat="false" ht="15" hidden="false" customHeight="false" outlineLevel="0" collapsed="false">
      <c r="G614" s="23" t="str">
        <f aca="false">IF(OR(D614="",E614=""),"",E614*IFERROR(VLOOKUP(F614,Perfil!$B$19:$C$24,2,0),1))</f>
        <v/>
      </c>
      <c r="H614" s="23" t="str">
        <f aca="false">IF(G614="","",G614/100*INDEX(Alimentos!$E$5:$E$40,MATCH($D614,Alimentos!$B$5:$B$40,0)))</f>
        <v/>
      </c>
      <c r="I614" s="23" t="str">
        <f aca="false">IF(G614="","",G614/100*INDEX(Alimentos!$F$5:$F$40,MATCH($D614,Alimentos!$B$5:$B$40,0)))</f>
        <v/>
      </c>
      <c r="J614" s="23" t="str">
        <f aca="false">IF(G614="","",G614/100*INDEX(Alimentos!$G$5:$G$40,MATCH($D614,Alimentos!$B$5:$B$40,0)))</f>
        <v/>
      </c>
      <c r="K614" s="23" t="str">
        <f aca="false">IF(G614="","",G614/100*INDEX(Alimentos!$H$5:$H$40,MATCH($D614,Alimentos!$B$5:$B$40,0)))</f>
        <v/>
      </c>
      <c r="L614" s="24" t="str">
        <f aca="false">IF(OR(A614="",B614=""),"",Perfil!$C$13+(A614-1)*7+MATCH(B614,{"Lunes","Martes","Miércoles","Jueves","Viernes","Sábado","Domingo"},0)-1)</f>
        <v/>
      </c>
    </row>
    <row r="615" customFormat="false" ht="15" hidden="false" customHeight="false" outlineLevel="0" collapsed="false">
      <c r="G615" s="23" t="str">
        <f aca="false">IF(OR(D615="",E615=""),"",E615*IFERROR(VLOOKUP(F615,Perfil!$B$19:$C$24,2,0),1))</f>
        <v/>
      </c>
      <c r="H615" s="23" t="str">
        <f aca="false">IF(G615="","",G615/100*INDEX(Alimentos!$E$5:$E$40,MATCH($D615,Alimentos!$B$5:$B$40,0)))</f>
        <v/>
      </c>
      <c r="I615" s="23" t="str">
        <f aca="false">IF(G615="","",G615/100*INDEX(Alimentos!$F$5:$F$40,MATCH($D615,Alimentos!$B$5:$B$40,0)))</f>
        <v/>
      </c>
      <c r="J615" s="23" t="str">
        <f aca="false">IF(G615="","",G615/100*INDEX(Alimentos!$G$5:$G$40,MATCH($D615,Alimentos!$B$5:$B$40,0)))</f>
        <v/>
      </c>
      <c r="K615" s="23" t="str">
        <f aca="false">IF(G615="","",G615/100*INDEX(Alimentos!$H$5:$H$40,MATCH($D615,Alimentos!$B$5:$B$40,0)))</f>
        <v/>
      </c>
      <c r="L615" s="24" t="str">
        <f aca="false">IF(OR(A615="",B615=""),"",Perfil!$C$13+(A615-1)*7+MATCH(B615,{"Lunes","Martes","Miércoles","Jueves","Viernes","Sábado","Domingo"},0)-1)</f>
        <v/>
      </c>
    </row>
    <row r="616" customFormat="false" ht="15" hidden="false" customHeight="false" outlineLevel="0" collapsed="false">
      <c r="G616" s="23" t="str">
        <f aca="false">IF(OR(D616="",E616=""),"",E616*IFERROR(VLOOKUP(F616,Perfil!$B$19:$C$24,2,0),1))</f>
        <v/>
      </c>
      <c r="H616" s="23" t="str">
        <f aca="false">IF(G616="","",G616/100*INDEX(Alimentos!$E$5:$E$40,MATCH($D616,Alimentos!$B$5:$B$40,0)))</f>
        <v/>
      </c>
      <c r="I616" s="23" t="str">
        <f aca="false">IF(G616="","",G616/100*INDEX(Alimentos!$F$5:$F$40,MATCH($D616,Alimentos!$B$5:$B$40,0)))</f>
        <v/>
      </c>
      <c r="J616" s="23" t="str">
        <f aca="false">IF(G616="","",G616/100*INDEX(Alimentos!$G$5:$G$40,MATCH($D616,Alimentos!$B$5:$B$40,0)))</f>
        <v/>
      </c>
      <c r="K616" s="23" t="str">
        <f aca="false">IF(G616="","",G616/100*INDEX(Alimentos!$H$5:$H$40,MATCH($D616,Alimentos!$B$5:$B$40,0)))</f>
        <v/>
      </c>
      <c r="L616" s="24" t="str">
        <f aca="false">IF(OR(A616="",B616=""),"",Perfil!$C$13+(A616-1)*7+MATCH(B616,{"Lunes","Martes","Miércoles","Jueves","Viernes","Sábado","Domingo"},0)-1)</f>
        <v/>
      </c>
    </row>
    <row r="617" customFormat="false" ht="15" hidden="false" customHeight="false" outlineLevel="0" collapsed="false">
      <c r="G617" s="23" t="str">
        <f aca="false">IF(OR(D617="",E617=""),"",E617*IFERROR(VLOOKUP(F617,Perfil!$B$19:$C$24,2,0),1))</f>
        <v/>
      </c>
      <c r="H617" s="23" t="str">
        <f aca="false">IF(G617="","",G617/100*INDEX(Alimentos!$E$5:$E$40,MATCH($D617,Alimentos!$B$5:$B$40,0)))</f>
        <v/>
      </c>
      <c r="I617" s="23" t="str">
        <f aca="false">IF(G617="","",G617/100*INDEX(Alimentos!$F$5:$F$40,MATCH($D617,Alimentos!$B$5:$B$40,0)))</f>
        <v/>
      </c>
      <c r="J617" s="23" t="str">
        <f aca="false">IF(G617="","",G617/100*INDEX(Alimentos!$G$5:$G$40,MATCH($D617,Alimentos!$B$5:$B$40,0)))</f>
        <v/>
      </c>
      <c r="K617" s="23" t="str">
        <f aca="false">IF(G617="","",G617/100*INDEX(Alimentos!$H$5:$H$40,MATCH($D617,Alimentos!$B$5:$B$40,0)))</f>
        <v/>
      </c>
      <c r="L617" s="24" t="str">
        <f aca="false">IF(OR(A617="",B617=""),"",Perfil!$C$13+(A617-1)*7+MATCH(B617,{"Lunes","Martes","Miércoles","Jueves","Viernes","Sábado","Domingo"},0)-1)</f>
        <v/>
      </c>
    </row>
    <row r="618" customFormat="false" ht="15" hidden="false" customHeight="false" outlineLevel="0" collapsed="false">
      <c r="G618" s="23" t="str">
        <f aca="false">IF(OR(D618="",E618=""),"",E618*IFERROR(VLOOKUP(F618,Perfil!$B$19:$C$24,2,0),1))</f>
        <v/>
      </c>
      <c r="H618" s="23" t="str">
        <f aca="false">IF(G618="","",G618/100*INDEX(Alimentos!$E$5:$E$40,MATCH($D618,Alimentos!$B$5:$B$40,0)))</f>
        <v/>
      </c>
      <c r="I618" s="23" t="str">
        <f aca="false">IF(G618="","",G618/100*INDEX(Alimentos!$F$5:$F$40,MATCH($D618,Alimentos!$B$5:$B$40,0)))</f>
        <v/>
      </c>
      <c r="J618" s="23" t="str">
        <f aca="false">IF(G618="","",G618/100*INDEX(Alimentos!$G$5:$G$40,MATCH($D618,Alimentos!$B$5:$B$40,0)))</f>
        <v/>
      </c>
      <c r="K618" s="23" t="str">
        <f aca="false">IF(G618="","",G618/100*INDEX(Alimentos!$H$5:$H$40,MATCH($D618,Alimentos!$B$5:$B$40,0)))</f>
        <v/>
      </c>
      <c r="L618" s="24" t="str">
        <f aca="false">IF(OR(A618="",B618=""),"",Perfil!$C$13+(A618-1)*7+MATCH(B618,{"Lunes","Martes","Miércoles","Jueves","Viernes","Sábado","Domingo"},0)-1)</f>
        <v/>
      </c>
    </row>
    <row r="619" customFormat="false" ht="15" hidden="false" customHeight="false" outlineLevel="0" collapsed="false">
      <c r="G619" s="23" t="str">
        <f aca="false">IF(OR(D619="",E619=""),"",E619*IFERROR(VLOOKUP(F619,Perfil!$B$19:$C$24,2,0),1))</f>
        <v/>
      </c>
      <c r="H619" s="23" t="str">
        <f aca="false">IF(G619="","",G619/100*INDEX(Alimentos!$E$5:$E$40,MATCH($D619,Alimentos!$B$5:$B$40,0)))</f>
        <v/>
      </c>
      <c r="I619" s="23" t="str">
        <f aca="false">IF(G619="","",G619/100*INDEX(Alimentos!$F$5:$F$40,MATCH($D619,Alimentos!$B$5:$B$40,0)))</f>
        <v/>
      </c>
      <c r="J619" s="23" t="str">
        <f aca="false">IF(G619="","",G619/100*INDEX(Alimentos!$G$5:$G$40,MATCH($D619,Alimentos!$B$5:$B$40,0)))</f>
        <v/>
      </c>
      <c r="K619" s="23" t="str">
        <f aca="false">IF(G619="","",G619/100*INDEX(Alimentos!$H$5:$H$40,MATCH($D619,Alimentos!$B$5:$B$40,0)))</f>
        <v/>
      </c>
      <c r="L619" s="24" t="str">
        <f aca="false">IF(OR(A619="",B619=""),"",Perfil!$C$13+(A619-1)*7+MATCH(B619,{"Lunes","Martes","Miércoles","Jueves","Viernes","Sábado","Domingo"},0)-1)</f>
        <v/>
      </c>
    </row>
    <row r="620" customFormat="false" ht="15" hidden="false" customHeight="false" outlineLevel="0" collapsed="false">
      <c r="G620" s="23" t="str">
        <f aca="false">IF(OR(D620="",E620=""),"",E620*IFERROR(VLOOKUP(F620,Perfil!$B$19:$C$24,2,0),1))</f>
        <v/>
      </c>
      <c r="H620" s="23" t="str">
        <f aca="false">IF(G620="","",G620/100*INDEX(Alimentos!$E$5:$E$40,MATCH($D620,Alimentos!$B$5:$B$40,0)))</f>
        <v/>
      </c>
      <c r="I620" s="23" t="str">
        <f aca="false">IF(G620="","",G620/100*INDEX(Alimentos!$F$5:$F$40,MATCH($D620,Alimentos!$B$5:$B$40,0)))</f>
        <v/>
      </c>
      <c r="J620" s="23" t="str">
        <f aca="false">IF(G620="","",G620/100*INDEX(Alimentos!$G$5:$G$40,MATCH($D620,Alimentos!$B$5:$B$40,0)))</f>
        <v/>
      </c>
      <c r="K620" s="23" t="str">
        <f aca="false">IF(G620="","",G620/100*INDEX(Alimentos!$H$5:$H$40,MATCH($D620,Alimentos!$B$5:$B$40,0)))</f>
        <v/>
      </c>
      <c r="L620" s="24" t="str">
        <f aca="false">IF(OR(A620="",B620=""),"",Perfil!$C$13+(A620-1)*7+MATCH(B620,{"Lunes","Martes","Miércoles","Jueves","Viernes","Sábado","Domingo"},0)-1)</f>
        <v/>
      </c>
    </row>
    <row r="621" customFormat="false" ht="15" hidden="false" customHeight="false" outlineLevel="0" collapsed="false">
      <c r="G621" s="23" t="str">
        <f aca="false">IF(OR(D621="",E621=""),"",E621*IFERROR(VLOOKUP(F621,Perfil!$B$19:$C$24,2,0),1))</f>
        <v/>
      </c>
      <c r="H621" s="23" t="str">
        <f aca="false">IF(G621="","",G621/100*INDEX(Alimentos!$E$5:$E$40,MATCH($D621,Alimentos!$B$5:$B$40,0)))</f>
        <v/>
      </c>
      <c r="I621" s="23" t="str">
        <f aca="false">IF(G621="","",G621/100*INDEX(Alimentos!$F$5:$F$40,MATCH($D621,Alimentos!$B$5:$B$40,0)))</f>
        <v/>
      </c>
      <c r="J621" s="23" t="str">
        <f aca="false">IF(G621="","",G621/100*INDEX(Alimentos!$G$5:$G$40,MATCH($D621,Alimentos!$B$5:$B$40,0)))</f>
        <v/>
      </c>
      <c r="K621" s="23" t="str">
        <f aca="false">IF(G621="","",G621/100*INDEX(Alimentos!$H$5:$H$40,MATCH($D621,Alimentos!$B$5:$B$40,0)))</f>
        <v/>
      </c>
      <c r="L621" s="24" t="str">
        <f aca="false">IF(OR(A621="",B621=""),"",Perfil!$C$13+(A621-1)*7+MATCH(B621,{"Lunes","Martes","Miércoles","Jueves","Viernes","Sábado","Domingo"},0)-1)</f>
        <v/>
      </c>
    </row>
    <row r="622" customFormat="false" ht="15" hidden="false" customHeight="false" outlineLevel="0" collapsed="false">
      <c r="G622" s="23" t="str">
        <f aca="false">IF(OR(D622="",E622=""),"",E622*IFERROR(VLOOKUP(F622,Perfil!$B$19:$C$24,2,0),1))</f>
        <v/>
      </c>
      <c r="H622" s="23" t="str">
        <f aca="false">IF(G622="","",G622/100*INDEX(Alimentos!$E$5:$E$40,MATCH($D622,Alimentos!$B$5:$B$40,0)))</f>
        <v/>
      </c>
      <c r="I622" s="23" t="str">
        <f aca="false">IF(G622="","",G622/100*INDEX(Alimentos!$F$5:$F$40,MATCH($D622,Alimentos!$B$5:$B$40,0)))</f>
        <v/>
      </c>
      <c r="J622" s="23" t="str">
        <f aca="false">IF(G622="","",G622/100*INDEX(Alimentos!$G$5:$G$40,MATCH($D622,Alimentos!$B$5:$B$40,0)))</f>
        <v/>
      </c>
      <c r="K622" s="23" t="str">
        <f aca="false">IF(G622="","",G622/100*INDEX(Alimentos!$H$5:$H$40,MATCH($D622,Alimentos!$B$5:$B$40,0)))</f>
        <v/>
      </c>
      <c r="L622" s="24" t="str">
        <f aca="false">IF(OR(A622="",B622=""),"",Perfil!$C$13+(A622-1)*7+MATCH(B622,{"Lunes","Martes","Miércoles","Jueves","Viernes","Sábado","Domingo"},0)-1)</f>
        <v/>
      </c>
    </row>
    <row r="623" customFormat="false" ht="15" hidden="false" customHeight="false" outlineLevel="0" collapsed="false">
      <c r="G623" s="23" t="str">
        <f aca="false">IF(OR(D623="",E623=""),"",E623*IFERROR(VLOOKUP(F623,Perfil!$B$19:$C$24,2,0),1))</f>
        <v/>
      </c>
      <c r="H623" s="23" t="str">
        <f aca="false">IF(G623="","",G623/100*INDEX(Alimentos!$E$5:$E$40,MATCH($D623,Alimentos!$B$5:$B$40,0)))</f>
        <v/>
      </c>
      <c r="I623" s="23" t="str">
        <f aca="false">IF(G623="","",G623/100*INDEX(Alimentos!$F$5:$F$40,MATCH($D623,Alimentos!$B$5:$B$40,0)))</f>
        <v/>
      </c>
      <c r="J623" s="23" t="str">
        <f aca="false">IF(G623="","",G623/100*INDEX(Alimentos!$G$5:$G$40,MATCH($D623,Alimentos!$B$5:$B$40,0)))</f>
        <v/>
      </c>
      <c r="K623" s="23" t="str">
        <f aca="false">IF(G623="","",G623/100*INDEX(Alimentos!$H$5:$H$40,MATCH($D623,Alimentos!$B$5:$B$40,0)))</f>
        <v/>
      </c>
      <c r="L623" s="24" t="str">
        <f aca="false">IF(OR(A623="",B623=""),"",Perfil!$C$13+(A623-1)*7+MATCH(B623,{"Lunes","Martes","Miércoles","Jueves","Viernes","Sábado","Domingo"},0)-1)</f>
        <v/>
      </c>
    </row>
    <row r="624" customFormat="false" ht="15" hidden="false" customHeight="false" outlineLevel="0" collapsed="false">
      <c r="G624" s="23" t="str">
        <f aca="false">IF(OR(D624="",E624=""),"",E624*IFERROR(VLOOKUP(F624,Perfil!$B$19:$C$24,2,0),1))</f>
        <v/>
      </c>
      <c r="H624" s="23" t="str">
        <f aca="false">IF(G624="","",G624/100*INDEX(Alimentos!$E$5:$E$40,MATCH($D624,Alimentos!$B$5:$B$40,0)))</f>
        <v/>
      </c>
      <c r="I624" s="23" t="str">
        <f aca="false">IF(G624="","",G624/100*INDEX(Alimentos!$F$5:$F$40,MATCH($D624,Alimentos!$B$5:$B$40,0)))</f>
        <v/>
      </c>
      <c r="J624" s="23" t="str">
        <f aca="false">IF(G624="","",G624/100*INDEX(Alimentos!$G$5:$G$40,MATCH($D624,Alimentos!$B$5:$B$40,0)))</f>
        <v/>
      </c>
      <c r="K624" s="23" t="str">
        <f aca="false">IF(G624="","",G624/100*INDEX(Alimentos!$H$5:$H$40,MATCH($D624,Alimentos!$B$5:$B$40,0)))</f>
        <v/>
      </c>
      <c r="L624" s="24" t="str">
        <f aca="false">IF(OR(A624="",B624=""),"",Perfil!$C$13+(A624-1)*7+MATCH(B624,{"Lunes","Martes","Miércoles","Jueves","Viernes","Sábado","Domingo"},0)-1)</f>
        <v/>
      </c>
    </row>
    <row r="625" customFormat="false" ht="15" hidden="false" customHeight="false" outlineLevel="0" collapsed="false">
      <c r="G625" s="23" t="str">
        <f aca="false">IF(OR(D625="",E625=""),"",E625*IFERROR(VLOOKUP(F625,Perfil!$B$19:$C$24,2,0),1))</f>
        <v/>
      </c>
      <c r="H625" s="23" t="str">
        <f aca="false">IF(G625="","",G625/100*INDEX(Alimentos!$E$5:$E$40,MATCH($D625,Alimentos!$B$5:$B$40,0)))</f>
        <v/>
      </c>
      <c r="I625" s="23" t="str">
        <f aca="false">IF(G625="","",G625/100*INDEX(Alimentos!$F$5:$F$40,MATCH($D625,Alimentos!$B$5:$B$40,0)))</f>
        <v/>
      </c>
      <c r="J625" s="23" t="str">
        <f aca="false">IF(G625="","",G625/100*INDEX(Alimentos!$G$5:$G$40,MATCH($D625,Alimentos!$B$5:$B$40,0)))</f>
        <v/>
      </c>
      <c r="K625" s="23" t="str">
        <f aca="false">IF(G625="","",G625/100*INDEX(Alimentos!$H$5:$H$40,MATCH($D625,Alimentos!$B$5:$B$40,0)))</f>
        <v/>
      </c>
      <c r="L625" s="24" t="str">
        <f aca="false">IF(OR(A625="",B625=""),"",Perfil!$C$13+(A625-1)*7+MATCH(B625,{"Lunes","Martes","Miércoles","Jueves","Viernes","Sábado","Domingo"},0)-1)</f>
        <v/>
      </c>
    </row>
    <row r="626" customFormat="false" ht="15" hidden="false" customHeight="false" outlineLevel="0" collapsed="false">
      <c r="G626" s="23" t="str">
        <f aca="false">IF(OR(D626="",E626=""),"",E626*IFERROR(VLOOKUP(F626,Perfil!$B$19:$C$24,2,0),1))</f>
        <v/>
      </c>
      <c r="H626" s="23" t="str">
        <f aca="false">IF(G626="","",G626/100*INDEX(Alimentos!$E$5:$E$40,MATCH($D626,Alimentos!$B$5:$B$40,0)))</f>
        <v/>
      </c>
      <c r="I626" s="23" t="str">
        <f aca="false">IF(G626="","",G626/100*INDEX(Alimentos!$F$5:$F$40,MATCH($D626,Alimentos!$B$5:$B$40,0)))</f>
        <v/>
      </c>
      <c r="J626" s="23" t="str">
        <f aca="false">IF(G626="","",G626/100*INDEX(Alimentos!$G$5:$G$40,MATCH($D626,Alimentos!$B$5:$B$40,0)))</f>
        <v/>
      </c>
      <c r="K626" s="23" t="str">
        <f aca="false">IF(G626="","",G626/100*INDEX(Alimentos!$H$5:$H$40,MATCH($D626,Alimentos!$B$5:$B$40,0)))</f>
        <v/>
      </c>
      <c r="L626" s="24" t="str">
        <f aca="false">IF(OR(A626="",B626=""),"",Perfil!$C$13+(A626-1)*7+MATCH(B626,{"Lunes","Martes","Miércoles","Jueves","Viernes","Sábado","Domingo"},0)-1)</f>
        <v/>
      </c>
    </row>
    <row r="627" customFormat="false" ht="15" hidden="false" customHeight="false" outlineLevel="0" collapsed="false">
      <c r="G627" s="23" t="str">
        <f aca="false">IF(OR(D627="",E627=""),"",E627*IFERROR(VLOOKUP(F627,Perfil!$B$19:$C$24,2,0),1))</f>
        <v/>
      </c>
      <c r="H627" s="23" t="str">
        <f aca="false">IF(G627="","",G627/100*INDEX(Alimentos!$E$5:$E$40,MATCH($D627,Alimentos!$B$5:$B$40,0)))</f>
        <v/>
      </c>
      <c r="I627" s="23" t="str">
        <f aca="false">IF(G627="","",G627/100*INDEX(Alimentos!$F$5:$F$40,MATCH($D627,Alimentos!$B$5:$B$40,0)))</f>
        <v/>
      </c>
      <c r="J627" s="23" t="str">
        <f aca="false">IF(G627="","",G627/100*INDEX(Alimentos!$G$5:$G$40,MATCH($D627,Alimentos!$B$5:$B$40,0)))</f>
        <v/>
      </c>
      <c r="K627" s="23" t="str">
        <f aca="false">IF(G627="","",G627/100*INDEX(Alimentos!$H$5:$H$40,MATCH($D627,Alimentos!$B$5:$B$40,0)))</f>
        <v/>
      </c>
      <c r="L627" s="24" t="str">
        <f aca="false">IF(OR(A627="",B627=""),"",Perfil!$C$13+(A627-1)*7+MATCH(B627,{"Lunes","Martes","Miércoles","Jueves","Viernes","Sábado","Domingo"},0)-1)</f>
        <v/>
      </c>
    </row>
    <row r="628" customFormat="false" ht="15" hidden="false" customHeight="false" outlineLevel="0" collapsed="false">
      <c r="G628" s="23" t="str">
        <f aca="false">IF(OR(D628="",E628=""),"",E628*IFERROR(VLOOKUP(F628,Perfil!$B$19:$C$24,2,0),1))</f>
        <v/>
      </c>
      <c r="H628" s="23" t="str">
        <f aca="false">IF(G628="","",G628/100*INDEX(Alimentos!$E$5:$E$40,MATCH($D628,Alimentos!$B$5:$B$40,0)))</f>
        <v/>
      </c>
      <c r="I628" s="23" t="str">
        <f aca="false">IF(G628="","",G628/100*INDEX(Alimentos!$F$5:$F$40,MATCH($D628,Alimentos!$B$5:$B$40,0)))</f>
        <v/>
      </c>
      <c r="J628" s="23" t="str">
        <f aca="false">IF(G628="","",G628/100*INDEX(Alimentos!$G$5:$G$40,MATCH($D628,Alimentos!$B$5:$B$40,0)))</f>
        <v/>
      </c>
      <c r="K628" s="23" t="str">
        <f aca="false">IF(G628="","",G628/100*INDEX(Alimentos!$H$5:$H$40,MATCH($D628,Alimentos!$B$5:$B$40,0)))</f>
        <v/>
      </c>
      <c r="L628" s="24" t="str">
        <f aca="false">IF(OR(A628="",B628=""),"",Perfil!$C$13+(A628-1)*7+MATCH(B628,{"Lunes","Martes","Miércoles","Jueves","Viernes","Sábado","Domingo"},0)-1)</f>
        <v/>
      </c>
    </row>
    <row r="629" customFormat="false" ht="15" hidden="false" customHeight="false" outlineLevel="0" collapsed="false">
      <c r="G629" s="23" t="str">
        <f aca="false">IF(OR(D629="",E629=""),"",E629*IFERROR(VLOOKUP(F629,Perfil!$B$19:$C$24,2,0),1))</f>
        <v/>
      </c>
      <c r="H629" s="23" t="str">
        <f aca="false">IF(G629="","",G629/100*INDEX(Alimentos!$E$5:$E$40,MATCH($D629,Alimentos!$B$5:$B$40,0)))</f>
        <v/>
      </c>
      <c r="I629" s="23" t="str">
        <f aca="false">IF(G629="","",G629/100*INDEX(Alimentos!$F$5:$F$40,MATCH($D629,Alimentos!$B$5:$B$40,0)))</f>
        <v/>
      </c>
      <c r="J629" s="23" t="str">
        <f aca="false">IF(G629="","",G629/100*INDEX(Alimentos!$G$5:$G$40,MATCH($D629,Alimentos!$B$5:$B$40,0)))</f>
        <v/>
      </c>
      <c r="K629" s="23" t="str">
        <f aca="false">IF(G629="","",G629/100*INDEX(Alimentos!$H$5:$H$40,MATCH($D629,Alimentos!$B$5:$B$40,0)))</f>
        <v/>
      </c>
      <c r="L629" s="24" t="str">
        <f aca="false">IF(OR(A629="",B629=""),"",Perfil!$C$13+(A629-1)*7+MATCH(B629,{"Lunes","Martes","Miércoles","Jueves","Viernes","Sábado","Domingo"},0)-1)</f>
        <v/>
      </c>
    </row>
    <row r="630" customFormat="false" ht="15" hidden="false" customHeight="false" outlineLevel="0" collapsed="false">
      <c r="G630" s="23" t="str">
        <f aca="false">IF(OR(D630="",E630=""),"",E630*IFERROR(VLOOKUP(F630,Perfil!$B$19:$C$24,2,0),1))</f>
        <v/>
      </c>
      <c r="H630" s="23" t="str">
        <f aca="false">IF(G630="","",G630/100*INDEX(Alimentos!$E$5:$E$40,MATCH($D630,Alimentos!$B$5:$B$40,0)))</f>
        <v/>
      </c>
      <c r="I630" s="23" t="str">
        <f aca="false">IF(G630="","",G630/100*INDEX(Alimentos!$F$5:$F$40,MATCH($D630,Alimentos!$B$5:$B$40,0)))</f>
        <v/>
      </c>
      <c r="J630" s="23" t="str">
        <f aca="false">IF(G630="","",G630/100*INDEX(Alimentos!$G$5:$G$40,MATCH($D630,Alimentos!$B$5:$B$40,0)))</f>
        <v/>
      </c>
      <c r="K630" s="23" t="str">
        <f aca="false">IF(G630="","",G630/100*INDEX(Alimentos!$H$5:$H$40,MATCH($D630,Alimentos!$B$5:$B$40,0)))</f>
        <v/>
      </c>
      <c r="L630" s="24" t="str">
        <f aca="false">IF(OR(A630="",B630=""),"",Perfil!$C$13+(A630-1)*7+MATCH(B630,{"Lunes","Martes","Miércoles","Jueves","Viernes","Sábado","Domingo"},0)-1)</f>
        <v/>
      </c>
    </row>
    <row r="631" customFormat="false" ht="15" hidden="false" customHeight="false" outlineLevel="0" collapsed="false">
      <c r="G631" s="23" t="str">
        <f aca="false">IF(OR(D631="",E631=""),"",E631*IFERROR(VLOOKUP(F631,Perfil!$B$19:$C$24,2,0),1))</f>
        <v/>
      </c>
      <c r="H631" s="23" t="str">
        <f aca="false">IF(G631="","",G631/100*INDEX(Alimentos!$E$5:$E$40,MATCH($D631,Alimentos!$B$5:$B$40,0)))</f>
        <v/>
      </c>
      <c r="I631" s="23" t="str">
        <f aca="false">IF(G631="","",G631/100*INDEX(Alimentos!$F$5:$F$40,MATCH($D631,Alimentos!$B$5:$B$40,0)))</f>
        <v/>
      </c>
      <c r="J631" s="23" t="str">
        <f aca="false">IF(G631="","",G631/100*INDEX(Alimentos!$G$5:$G$40,MATCH($D631,Alimentos!$B$5:$B$40,0)))</f>
        <v/>
      </c>
      <c r="K631" s="23" t="str">
        <f aca="false">IF(G631="","",G631/100*INDEX(Alimentos!$H$5:$H$40,MATCH($D631,Alimentos!$B$5:$B$40,0)))</f>
        <v/>
      </c>
      <c r="L631" s="24" t="str">
        <f aca="false">IF(OR(A631="",B631=""),"",Perfil!$C$13+(A631-1)*7+MATCH(B631,{"Lunes","Martes","Miércoles","Jueves","Viernes","Sábado","Domingo"},0)-1)</f>
        <v/>
      </c>
    </row>
    <row r="632" customFormat="false" ht="15" hidden="false" customHeight="false" outlineLevel="0" collapsed="false">
      <c r="G632" s="23" t="str">
        <f aca="false">IF(OR(D632="",E632=""),"",E632*IFERROR(VLOOKUP(F632,Perfil!$B$19:$C$24,2,0),1))</f>
        <v/>
      </c>
      <c r="H632" s="23" t="str">
        <f aca="false">IF(G632="","",G632/100*INDEX(Alimentos!$E$5:$E$40,MATCH($D632,Alimentos!$B$5:$B$40,0)))</f>
        <v/>
      </c>
      <c r="I632" s="23" t="str">
        <f aca="false">IF(G632="","",G632/100*INDEX(Alimentos!$F$5:$F$40,MATCH($D632,Alimentos!$B$5:$B$40,0)))</f>
        <v/>
      </c>
      <c r="J632" s="23" t="str">
        <f aca="false">IF(G632="","",G632/100*INDEX(Alimentos!$G$5:$G$40,MATCH($D632,Alimentos!$B$5:$B$40,0)))</f>
        <v/>
      </c>
      <c r="K632" s="23" t="str">
        <f aca="false">IF(G632="","",G632/100*INDEX(Alimentos!$H$5:$H$40,MATCH($D632,Alimentos!$B$5:$B$40,0)))</f>
        <v/>
      </c>
      <c r="L632" s="24" t="str">
        <f aca="false">IF(OR(A632="",B632=""),"",Perfil!$C$13+(A632-1)*7+MATCH(B632,{"Lunes","Martes","Miércoles","Jueves","Viernes","Sábado","Domingo"},0)-1)</f>
        <v/>
      </c>
    </row>
    <row r="633" customFormat="false" ht="15" hidden="false" customHeight="false" outlineLevel="0" collapsed="false">
      <c r="G633" s="23" t="str">
        <f aca="false">IF(OR(D633="",E633=""),"",E633*IFERROR(VLOOKUP(F633,Perfil!$B$19:$C$24,2,0),1))</f>
        <v/>
      </c>
      <c r="H633" s="23" t="str">
        <f aca="false">IF(G633="","",G633/100*INDEX(Alimentos!$E$5:$E$40,MATCH($D633,Alimentos!$B$5:$B$40,0)))</f>
        <v/>
      </c>
      <c r="I633" s="23" t="str">
        <f aca="false">IF(G633="","",G633/100*INDEX(Alimentos!$F$5:$F$40,MATCH($D633,Alimentos!$B$5:$B$40,0)))</f>
        <v/>
      </c>
      <c r="J633" s="23" t="str">
        <f aca="false">IF(G633="","",G633/100*INDEX(Alimentos!$G$5:$G$40,MATCH($D633,Alimentos!$B$5:$B$40,0)))</f>
        <v/>
      </c>
      <c r="K633" s="23" t="str">
        <f aca="false">IF(G633="","",G633/100*INDEX(Alimentos!$H$5:$H$40,MATCH($D633,Alimentos!$B$5:$B$40,0)))</f>
        <v/>
      </c>
      <c r="L633" s="24" t="str">
        <f aca="false">IF(OR(A633="",B633=""),"",Perfil!$C$13+(A633-1)*7+MATCH(B633,{"Lunes","Martes","Miércoles","Jueves","Viernes","Sábado","Domingo"},0)-1)</f>
        <v/>
      </c>
    </row>
    <row r="634" customFormat="false" ht="15" hidden="false" customHeight="false" outlineLevel="0" collapsed="false">
      <c r="G634" s="23" t="str">
        <f aca="false">IF(OR(D634="",E634=""),"",E634*IFERROR(VLOOKUP(F634,Perfil!$B$19:$C$24,2,0),1))</f>
        <v/>
      </c>
      <c r="H634" s="23" t="str">
        <f aca="false">IF(G634="","",G634/100*INDEX(Alimentos!$E$5:$E$40,MATCH($D634,Alimentos!$B$5:$B$40,0)))</f>
        <v/>
      </c>
      <c r="I634" s="23" t="str">
        <f aca="false">IF(G634="","",G634/100*INDEX(Alimentos!$F$5:$F$40,MATCH($D634,Alimentos!$B$5:$B$40,0)))</f>
        <v/>
      </c>
      <c r="J634" s="23" t="str">
        <f aca="false">IF(G634="","",G634/100*INDEX(Alimentos!$G$5:$G$40,MATCH($D634,Alimentos!$B$5:$B$40,0)))</f>
        <v/>
      </c>
      <c r="K634" s="23" t="str">
        <f aca="false">IF(G634="","",G634/100*INDEX(Alimentos!$H$5:$H$40,MATCH($D634,Alimentos!$B$5:$B$40,0)))</f>
        <v/>
      </c>
      <c r="L634" s="24" t="str">
        <f aca="false">IF(OR(A634="",B634=""),"",Perfil!$C$13+(A634-1)*7+MATCH(B634,{"Lunes","Martes","Miércoles","Jueves","Viernes","Sábado","Domingo"},0)-1)</f>
        <v/>
      </c>
    </row>
    <row r="635" customFormat="false" ht="15" hidden="false" customHeight="false" outlineLevel="0" collapsed="false">
      <c r="G635" s="23" t="str">
        <f aca="false">IF(OR(D635="",E635=""),"",E635*IFERROR(VLOOKUP(F635,Perfil!$B$19:$C$24,2,0),1))</f>
        <v/>
      </c>
      <c r="H635" s="23" t="str">
        <f aca="false">IF(G635="","",G635/100*INDEX(Alimentos!$E$5:$E$40,MATCH($D635,Alimentos!$B$5:$B$40,0)))</f>
        <v/>
      </c>
      <c r="I635" s="23" t="str">
        <f aca="false">IF(G635="","",G635/100*INDEX(Alimentos!$F$5:$F$40,MATCH($D635,Alimentos!$B$5:$B$40,0)))</f>
        <v/>
      </c>
      <c r="J635" s="23" t="str">
        <f aca="false">IF(G635="","",G635/100*INDEX(Alimentos!$G$5:$G$40,MATCH($D635,Alimentos!$B$5:$B$40,0)))</f>
        <v/>
      </c>
      <c r="K635" s="23" t="str">
        <f aca="false">IF(G635="","",G635/100*INDEX(Alimentos!$H$5:$H$40,MATCH($D635,Alimentos!$B$5:$B$40,0)))</f>
        <v/>
      </c>
      <c r="L635" s="24" t="str">
        <f aca="false">IF(OR(A635="",B635=""),"",Perfil!$C$13+(A635-1)*7+MATCH(B635,{"Lunes","Martes","Miércoles","Jueves","Viernes","Sábado","Domingo"},0)-1)</f>
        <v/>
      </c>
    </row>
    <row r="636" customFormat="false" ht="15" hidden="false" customHeight="false" outlineLevel="0" collapsed="false">
      <c r="G636" s="23" t="str">
        <f aca="false">IF(OR(D636="",E636=""),"",E636*IFERROR(VLOOKUP(F636,Perfil!$B$19:$C$24,2,0),1))</f>
        <v/>
      </c>
      <c r="H636" s="23" t="str">
        <f aca="false">IF(G636="","",G636/100*INDEX(Alimentos!$E$5:$E$40,MATCH($D636,Alimentos!$B$5:$B$40,0)))</f>
        <v/>
      </c>
      <c r="I636" s="23" t="str">
        <f aca="false">IF(G636="","",G636/100*INDEX(Alimentos!$F$5:$F$40,MATCH($D636,Alimentos!$B$5:$B$40,0)))</f>
        <v/>
      </c>
      <c r="J636" s="23" t="str">
        <f aca="false">IF(G636="","",G636/100*INDEX(Alimentos!$G$5:$G$40,MATCH($D636,Alimentos!$B$5:$B$40,0)))</f>
        <v/>
      </c>
      <c r="K636" s="23" t="str">
        <f aca="false">IF(G636="","",G636/100*INDEX(Alimentos!$H$5:$H$40,MATCH($D636,Alimentos!$B$5:$B$40,0)))</f>
        <v/>
      </c>
      <c r="L636" s="24" t="str">
        <f aca="false">IF(OR(A636="",B636=""),"",Perfil!$C$13+(A636-1)*7+MATCH(B636,{"Lunes","Martes","Miércoles","Jueves","Viernes","Sábado","Domingo"},0)-1)</f>
        <v/>
      </c>
    </row>
    <row r="637" customFormat="false" ht="15" hidden="false" customHeight="false" outlineLevel="0" collapsed="false">
      <c r="G637" s="23" t="str">
        <f aca="false">IF(OR(D637="",E637=""),"",E637*IFERROR(VLOOKUP(F637,Perfil!$B$19:$C$24,2,0),1))</f>
        <v/>
      </c>
      <c r="H637" s="23" t="str">
        <f aca="false">IF(G637="","",G637/100*INDEX(Alimentos!$E$5:$E$40,MATCH($D637,Alimentos!$B$5:$B$40,0)))</f>
        <v/>
      </c>
      <c r="I637" s="23" t="str">
        <f aca="false">IF(G637="","",G637/100*INDEX(Alimentos!$F$5:$F$40,MATCH($D637,Alimentos!$B$5:$B$40,0)))</f>
        <v/>
      </c>
      <c r="J637" s="23" t="str">
        <f aca="false">IF(G637="","",G637/100*INDEX(Alimentos!$G$5:$G$40,MATCH($D637,Alimentos!$B$5:$B$40,0)))</f>
        <v/>
      </c>
      <c r="K637" s="23" t="str">
        <f aca="false">IF(G637="","",G637/100*INDEX(Alimentos!$H$5:$H$40,MATCH($D637,Alimentos!$B$5:$B$40,0)))</f>
        <v/>
      </c>
      <c r="L637" s="24" t="str">
        <f aca="false">IF(OR(A637="",B637=""),"",Perfil!$C$13+(A637-1)*7+MATCH(B637,{"Lunes","Martes","Miércoles","Jueves","Viernes","Sábado","Domingo"},0)-1)</f>
        <v/>
      </c>
    </row>
    <row r="638" customFormat="false" ht="15" hidden="false" customHeight="false" outlineLevel="0" collapsed="false">
      <c r="G638" s="23" t="str">
        <f aca="false">IF(OR(D638="",E638=""),"",E638*IFERROR(VLOOKUP(F638,Perfil!$B$19:$C$24,2,0),1))</f>
        <v/>
      </c>
      <c r="H638" s="23" t="str">
        <f aca="false">IF(G638="","",G638/100*INDEX(Alimentos!$E$5:$E$40,MATCH($D638,Alimentos!$B$5:$B$40,0)))</f>
        <v/>
      </c>
      <c r="I638" s="23" t="str">
        <f aca="false">IF(G638="","",G638/100*INDEX(Alimentos!$F$5:$F$40,MATCH($D638,Alimentos!$B$5:$B$40,0)))</f>
        <v/>
      </c>
      <c r="J638" s="23" t="str">
        <f aca="false">IF(G638="","",G638/100*INDEX(Alimentos!$G$5:$G$40,MATCH($D638,Alimentos!$B$5:$B$40,0)))</f>
        <v/>
      </c>
      <c r="K638" s="23" t="str">
        <f aca="false">IF(G638="","",G638/100*INDEX(Alimentos!$H$5:$H$40,MATCH($D638,Alimentos!$B$5:$B$40,0)))</f>
        <v/>
      </c>
      <c r="L638" s="24" t="str">
        <f aca="false">IF(OR(A638="",B638=""),"",Perfil!$C$13+(A638-1)*7+MATCH(B638,{"Lunes","Martes","Miércoles","Jueves","Viernes","Sábado","Domingo"},0)-1)</f>
        <v/>
      </c>
    </row>
    <row r="639" customFormat="false" ht="15" hidden="false" customHeight="false" outlineLevel="0" collapsed="false">
      <c r="G639" s="23" t="str">
        <f aca="false">IF(OR(D639="",E639=""),"",E639*IFERROR(VLOOKUP(F639,Perfil!$B$19:$C$24,2,0),1))</f>
        <v/>
      </c>
      <c r="H639" s="23" t="str">
        <f aca="false">IF(G639="","",G639/100*INDEX(Alimentos!$E$5:$E$40,MATCH($D639,Alimentos!$B$5:$B$40,0)))</f>
        <v/>
      </c>
      <c r="I639" s="23" t="str">
        <f aca="false">IF(G639="","",G639/100*INDEX(Alimentos!$F$5:$F$40,MATCH($D639,Alimentos!$B$5:$B$40,0)))</f>
        <v/>
      </c>
      <c r="J639" s="23" t="str">
        <f aca="false">IF(G639="","",G639/100*INDEX(Alimentos!$G$5:$G$40,MATCH($D639,Alimentos!$B$5:$B$40,0)))</f>
        <v/>
      </c>
      <c r="K639" s="23" t="str">
        <f aca="false">IF(G639="","",G639/100*INDEX(Alimentos!$H$5:$H$40,MATCH($D639,Alimentos!$B$5:$B$40,0)))</f>
        <v/>
      </c>
      <c r="L639" s="24" t="str">
        <f aca="false">IF(OR(A639="",B639=""),"",Perfil!$C$13+(A639-1)*7+MATCH(B639,{"Lunes","Martes","Miércoles","Jueves","Viernes","Sábado","Domingo"},0)-1)</f>
        <v/>
      </c>
    </row>
    <row r="640" customFormat="false" ht="15" hidden="false" customHeight="false" outlineLevel="0" collapsed="false">
      <c r="G640" s="23" t="str">
        <f aca="false">IF(OR(D640="",E640=""),"",E640*IFERROR(VLOOKUP(F640,Perfil!$B$19:$C$24,2,0),1))</f>
        <v/>
      </c>
      <c r="H640" s="23" t="str">
        <f aca="false">IF(G640="","",G640/100*INDEX(Alimentos!$E$5:$E$40,MATCH($D640,Alimentos!$B$5:$B$40,0)))</f>
        <v/>
      </c>
      <c r="I640" s="23" t="str">
        <f aca="false">IF(G640="","",G640/100*INDEX(Alimentos!$F$5:$F$40,MATCH($D640,Alimentos!$B$5:$B$40,0)))</f>
        <v/>
      </c>
      <c r="J640" s="23" t="str">
        <f aca="false">IF(G640="","",G640/100*INDEX(Alimentos!$G$5:$G$40,MATCH($D640,Alimentos!$B$5:$B$40,0)))</f>
        <v/>
      </c>
      <c r="K640" s="23" t="str">
        <f aca="false">IF(G640="","",G640/100*INDEX(Alimentos!$H$5:$H$40,MATCH($D640,Alimentos!$B$5:$B$40,0)))</f>
        <v/>
      </c>
      <c r="L640" s="24" t="str">
        <f aca="false">IF(OR(A640="",B640=""),"",Perfil!$C$13+(A640-1)*7+MATCH(B640,{"Lunes","Martes","Miércoles","Jueves","Viernes","Sábado","Domingo"},0)-1)</f>
        <v/>
      </c>
    </row>
    <row r="641" customFormat="false" ht="15" hidden="false" customHeight="false" outlineLevel="0" collapsed="false">
      <c r="G641" s="23" t="str">
        <f aca="false">IF(OR(D641="",E641=""),"",E641*IFERROR(VLOOKUP(F641,Perfil!$B$19:$C$24,2,0),1))</f>
        <v/>
      </c>
      <c r="H641" s="23" t="str">
        <f aca="false">IF(G641="","",G641/100*INDEX(Alimentos!$E$5:$E$40,MATCH($D641,Alimentos!$B$5:$B$40,0)))</f>
        <v/>
      </c>
      <c r="I641" s="23" t="str">
        <f aca="false">IF(G641="","",G641/100*INDEX(Alimentos!$F$5:$F$40,MATCH($D641,Alimentos!$B$5:$B$40,0)))</f>
        <v/>
      </c>
      <c r="J641" s="23" t="str">
        <f aca="false">IF(G641="","",G641/100*INDEX(Alimentos!$G$5:$G$40,MATCH($D641,Alimentos!$B$5:$B$40,0)))</f>
        <v/>
      </c>
      <c r="K641" s="23" t="str">
        <f aca="false">IF(G641="","",G641/100*INDEX(Alimentos!$H$5:$H$40,MATCH($D641,Alimentos!$B$5:$B$40,0)))</f>
        <v/>
      </c>
      <c r="L641" s="24" t="str">
        <f aca="false">IF(OR(A641="",B641=""),"",Perfil!$C$13+(A641-1)*7+MATCH(B641,{"Lunes","Martes","Miércoles","Jueves","Viernes","Sábado","Domingo"},0)-1)</f>
        <v/>
      </c>
    </row>
    <row r="642" customFormat="false" ht="15" hidden="false" customHeight="false" outlineLevel="0" collapsed="false">
      <c r="G642" s="23" t="str">
        <f aca="false">IF(OR(D642="",E642=""),"",E642*IFERROR(VLOOKUP(F642,Perfil!$B$19:$C$24,2,0),1))</f>
        <v/>
      </c>
      <c r="H642" s="23" t="str">
        <f aca="false">IF(G642="","",G642/100*INDEX(Alimentos!$E$5:$E$40,MATCH($D642,Alimentos!$B$5:$B$40,0)))</f>
        <v/>
      </c>
      <c r="I642" s="23" t="str">
        <f aca="false">IF(G642="","",G642/100*INDEX(Alimentos!$F$5:$F$40,MATCH($D642,Alimentos!$B$5:$B$40,0)))</f>
        <v/>
      </c>
      <c r="J642" s="23" t="str">
        <f aca="false">IF(G642="","",G642/100*INDEX(Alimentos!$G$5:$G$40,MATCH($D642,Alimentos!$B$5:$B$40,0)))</f>
        <v/>
      </c>
      <c r="K642" s="23" t="str">
        <f aca="false">IF(G642="","",G642/100*INDEX(Alimentos!$H$5:$H$40,MATCH($D642,Alimentos!$B$5:$B$40,0)))</f>
        <v/>
      </c>
      <c r="L642" s="24" t="str">
        <f aca="false">IF(OR(A642="",B642=""),"",Perfil!$C$13+(A642-1)*7+MATCH(B642,{"Lunes","Martes","Miércoles","Jueves","Viernes","Sábado","Domingo"},0)-1)</f>
        <v/>
      </c>
    </row>
    <row r="643" customFormat="false" ht="15" hidden="false" customHeight="false" outlineLevel="0" collapsed="false">
      <c r="G643" s="23" t="str">
        <f aca="false">IF(OR(D643="",E643=""),"",E643*IFERROR(VLOOKUP(F643,Perfil!$B$19:$C$24,2,0),1))</f>
        <v/>
      </c>
      <c r="H643" s="23" t="str">
        <f aca="false">IF(G643="","",G643/100*INDEX(Alimentos!$E$5:$E$40,MATCH($D643,Alimentos!$B$5:$B$40,0)))</f>
        <v/>
      </c>
      <c r="I643" s="23" t="str">
        <f aca="false">IF(G643="","",G643/100*INDEX(Alimentos!$F$5:$F$40,MATCH($D643,Alimentos!$B$5:$B$40,0)))</f>
        <v/>
      </c>
      <c r="J643" s="23" t="str">
        <f aca="false">IF(G643="","",G643/100*INDEX(Alimentos!$G$5:$G$40,MATCH($D643,Alimentos!$B$5:$B$40,0)))</f>
        <v/>
      </c>
      <c r="K643" s="23" t="str">
        <f aca="false">IF(G643="","",G643/100*INDEX(Alimentos!$H$5:$H$40,MATCH($D643,Alimentos!$B$5:$B$40,0)))</f>
        <v/>
      </c>
      <c r="L643" s="24" t="str">
        <f aca="false">IF(OR(A643="",B643=""),"",Perfil!$C$13+(A643-1)*7+MATCH(B643,{"Lunes","Martes","Miércoles","Jueves","Viernes","Sábado","Domingo"},0)-1)</f>
        <v/>
      </c>
    </row>
    <row r="644" customFormat="false" ht="15" hidden="false" customHeight="false" outlineLevel="0" collapsed="false">
      <c r="G644" s="23" t="str">
        <f aca="false">IF(OR(D644="",E644=""),"",E644*IFERROR(VLOOKUP(F644,Perfil!$B$19:$C$24,2,0),1))</f>
        <v/>
      </c>
      <c r="H644" s="23" t="str">
        <f aca="false">IF(G644="","",G644/100*INDEX(Alimentos!$E$5:$E$40,MATCH($D644,Alimentos!$B$5:$B$40,0)))</f>
        <v/>
      </c>
      <c r="I644" s="23" t="str">
        <f aca="false">IF(G644="","",G644/100*INDEX(Alimentos!$F$5:$F$40,MATCH($D644,Alimentos!$B$5:$B$40,0)))</f>
        <v/>
      </c>
      <c r="J644" s="23" t="str">
        <f aca="false">IF(G644="","",G644/100*INDEX(Alimentos!$G$5:$G$40,MATCH($D644,Alimentos!$B$5:$B$40,0)))</f>
        <v/>
      </c>
      <c r="K644" s="23" t="str">
        <f aca="false">IF(G644="","",G644/100*INDEX(Alimentos!$H$5:$H$40,MATCH($D644,Alimentos!$B$5:$B$40,0)))</f>
        <v/>
      </c>
      <c r="L644" s="24" t="str">
        <f aca="false">IF(OR(A644="",B644=""),"",Perfil!$C$13+(A644-1)*7+MATCH(B644,{"Lunes","Martes","Miércoles","Jueves","Viernes","Sábado","Domingo"},0)-1)</f>
        <v/>
      </c>
    </row>
    <row r="645" customFormat="false" ht="15" hidden="false" customHeight="false" outlineLevel="0" collapsed="false">
      <c r="G645" s="23" t="str">
        <f aca="false">IF(OR(D645="",E645=""),"",E645*IFERROR(VLOOKUP(F645,Perfil!$B$19:$C$24,2,0),1))</f>
        <v/>
      </c>
      <c r="H645" s="23" t="str">
        <f aca="false">IF(G645="","",G645/100*INDEX(Alimentos!$E$5:$E$40,MATCH($D645,Alimentos!$B$5:$B$40,0)))</f>
        <v/>
      </c>
      <c r="I645" s="23" t="str">
        <f aca="false">IF(G645="","",G645/100*INDEX(Alimentos!$F$5:$F$40,MATCH($D645,Alimentos!$B$5:$B$40,0)))</f>
        <v/>
      </c>
      <c r="J645" s="23" t="str">
        <f aca="false">IF(G645="","",G645/100*INDEX(Alimentos!$G$5:$G$40,MATCH($D645,Alimentos!$B$5:$B$40,0)))</f>
        <v/>
      </c>
      <c r="K645" s="23" t="str">
        <f aca="false">IF(G645="","",G645/100*INDEX(Alimentos!$H$5:$H$40,MATCH($D645,Alimentos!$B$5:$B$40,0)))</f>
        <v/>
      </c>
      <c r="L645" s="24" t="str">
        <f aca="false">IF(OR(A645="",B645=""),"",Perfil!$C$13+(A645-1)*7+MATCH(B645,{"Lunes","Martes","Miércoles","Jueves","Viernes","Sábado","Domingo"},0)-1)</f>
        <v/>
      </c>
    </row>
    <row r="646" customFormat="false" ht="15" hidden="false" customHeight="false" outlineLevel="0" collapsed="false">
      <c r="G646" s="23" t="str">
        <f aca="false">IF(OR(D646="",E646=""),"",E646*IFERROR(VLOOKUP(F646,Perfil!$B$19:$C$24,2,0),1))</f>
        <v/>
      </c>
      <c r="H646" s="23" t="str">
        <f aca="false">IF(G646="","",G646/100*INDEX(Alimentos!$E$5:$E$40,MATCH($D646,Alimentos!$B$5:$B$40,0)))</f>
        <v/>
      </c>
      <c r="I646" s="23" t="str">
        <f aca="false">IF(G646="","",G646/100*INDEX(Alimentos!$F$5:$F$40,MATCH($D646,Alimentos!$B$5:$B$40,0)))</f>
        <v/>
      </c>
      <c r="J646" s="23" t="str">
        <f aca="false">IF(G646="","",G646/100*INDEX(Alimentos!$G$5:$G$40,MATCH($D646,Alimentos!$B$5:$B$40,0)))</f>
        <v/>
      </c>
      <c r="K646" s="23" t="str">
        <f aca="false">IF(G646="","",G646/100*INDEX(Alimentos!$H$5:$H$40,MATCH($D646,Alimentos!$B$5:$B$40,0)))</f>
        <v/>
      </c>
      <c r="L646" s="24" t="str">
        <f aca="false">IF(OR(A646="",B646=""),"",Perfil!$C$13+(A646-1)*7+MATCH(B646,{"Lunes","Martes","Miércoles","Jueves","Viernes","Sábado","Domingo"},0)-1)</f>
        <v/>
      </c>
    </row>
    <row r="647" customFormat="false" ht="15" hidden="false" customHeight="false" outlineLevel="0" collapsed="false">
      <c r="G647" s="23" t="str">
        <f aca="false">IF(OR(D647="",E647=""),"",E647*IFERROR(VLOOKUP(F647,Perfil!$B$19:$C$24,2,0),1))</f>
        <v/>
      </c>
      <c r="H647" s="23" t="str">
        <f aca="false">IF(G647="","",G647/100*INDEX(Alimentos!$E$5:$E$40,MATCH($D647,Alimentos!$B$5:$B$40,0)))</f>
        <v/>
      </c>
      <c r="I647" s="23" t="str">
        <f aca="false">IF(G647="","",G647/100*INDEX(Alimentos!$F$5:$F$40,MATCH($D647,Alimentos!$B$5:$B$40,0)))</f>
        <v/>
      </c>
      <c r="J647" s="23" t="str">
        <f aca="false">IF(G647="","",G647/100*INDEX(Alimentos!$G$5:$G$40,MATCH($D647,Alimentos!$B$5:$B$40,0)))</f>
        <v/>
      </c>
      <c r="K647" s="23" t="str">
        <f aca="false">IF(G647="","",G647/100*INDEX(Alimentos!$H$5:$H$40,MATCH($D647,Alimentos!$B$5:$B$40,0)))</f>
        <v/>
      </c>
      <c r="L647" s="24" t="str">
        <f aca="false">IF(OR(A647="",B647=""),"",Perfil!$C$13+(A647-1)*7+MATCH(B647,{"Lunes","Martes","Miércoles","Jueves","Viernes","Sábado","Domingo"},0)-1)</f>
        <v/>
      </c>
    </row>
    <row r="648" customFormat="false" ht="15" hidden="false" customHeight="false" outlineLevel="0" collapsed="false">
      <c r="G648" s="23" t="str">
        <f aca="false">IF(OR(D648="",E648=""),"",E648*IFERROR(VLOOKUP(F648,Perfil!$B$19:$C$24,2,0),1))</f>
        <v/>
      </c>
      <c r="H648" s="23" t="str">
        <f aca="false">IF(G648="","",G648/100*INDEX(Alimentos!$E$5:$E$40,MATCH($D648,Alimentos!$B$5:$B$40,0)))</f>
        <v/>
      </c>
      <c r="I648" s="23" t="str">
        <f aca="false">IF(G648="","",G648/100*INDEX(Alimentos!$F$5:$F$40,MATCH($D648,Alimentos!$B$5:$B$40,0)))</f>
        <v/>
      </c>
      <c r="J648" s="23" t="str">
        <f aca="false">IF(G648="","",G648/100*INDEX(Alimentos!$G$5:$G$40,MATCH($D648,Alimentos!$B$5:$B$40,0)))</f>
        <v/>
      </c>
      <c r="K648" s="23" t="str">
        <f aca="false">IF(G648="","",G648/100*INDEX(Alimentos!$H$5:$H$40,MATCH($D648,Alimentos!$B$5:$B$40,0)))</f>
        <v/>
      </c>
      <c r="L648" s="24" t="str">
        <f aca="false">IF(OR(A648="",B648=""),"",Perfil!$C$13+(A648-1)*7+MATCH(B648,{"Lunes","Martes","Miércoles","Jueves","Viernes","Sábado","Domingo"},0)-1)</f>
        <v/>
      </c>
    </row>
    <row r="649" customFormat="false" ht="15" hidden="false" customHeight="false" outlineLevel="0" collapsed="false">
      <c r="G649" s="23" t="str">
        <f aca="false">IF(OR(D649="",E649=""),"",E649*IFERROR(VLOOKUP(F649,Perfil!$B$19:$C$24,2,0),1))</f>
        <v/>
      </c>
      <c r="H649" s="23" t="str">
        <f aca="false">IF(G649="","",G649/100*INDEX(Alimentos!$E$5:$E$40,MATCH($D649,Alimentos!$B$5:$B$40,0)))</f>
        <v/>
      </c>
      <c r="I649" s="23" t="str">
        <f aca="false">IF(G649="","",G649/100*INDEX(Alimentos!$F$5:$F$40,MATCH($D649,Alimentos!$B$5:$B$40,0)))</f>
        <v/>
      </c>
      <c r="J649" s="23" t="str">
        <f aca="false">IF(G649="","",G649/100*INDEX(Alimentos!$G$5:$G$40,MATCH($D649,Alimentos!$B$5:$B$40,0)))</f>
        <v/>
      </c>
      <c r="K649" s="23" t="str">
        <f aca="false">IF(G649="","",G649/100*INDEX(Alimentos!$H$5:$H$40,MATCH($D649,Alimentos!$B$5:$B$40,0)))</f>
        <v/>
      </c>
      <c r="L649" s="24" t="str">
        <f aca="false">IF(OR(A649="",B649=""),"",Perfil!$C$13+(A649-1)*7+MATCH(B649,{"Lunes","Martes","Miércoles","Jueves","Viernes","Sábado","Domingo"},0)-1)</f>
        <v/>
      </c>
    </row>
    <row r="650" customFormat="false" ht="15" hidden="false" customHeight="false" outlineLevel="0" collapsed="false">
      <c r="G650" s="23" t="str">
        <f aca="false">IF(OR(D650="",E650=""),"",E650*IFERROR(VLOOKUP(F650,Perfil!$B$19:$C$24,2,0),1))</f>
        <v/>
      </c>
      <c r="H650" s="23" t="str">
        <f aca="false">IF(G650="","",G650/100*INDEX(Alimentos!$E$5:$E$40,MATCH($D650,Alimentos!$B$5:$B$40,0)))</f>
        <v/>
      </c>
      <c r="I650" s="23" t="str">
        <f aca="false">IF(G650="","",G650/100*INDEX(Alimentos!$F$5:$F$40,MATCH($D650,Alimentos!$B$5:$B$40,0)))</f>
        <v/>
      </c>
      <c r="J650" s="23" t="str">
        <f aca="false">IF(G650="","",G650/100*INDEX(Alimentos!$G$5:$G$40,MATCH($D650,Alimentos!$B$5:$B$40,0)))</f>
        <v/>
      </c>
      <c r="K650" s="23" t="str">
        <f aca="false">IF(G650="","",G650/100*INDEX(Alimentos!$H$5:$H$40,MATCH($D650,Alimentos!$B$5:$B$40,0)))</f>
        <v/>
      </c>
      <c r="L650" s="24" t="str">
        <f aca="false">IF(OR(A650="",B650=""),"",Perfil!$C$13+(A650-1)*7+MATCH(B650,{"Lunes","Martes","Miércoles","Jueves","Viernes","Sábado","Domingo"},0)-1)</f>
        <v/>
      </c>
    </row>
    <row r="651" customFormat="false" ht="15" hidden="false" customHeight="false" outlineLevel="0" collapsed="false">
      <c r="G651" s="23" t="str">
        <f aca="false">IF(OR(D651="",E651=""),"",E651*IFERROR(VLOOKUP(F651,Perfil!$B$19:$C$24,2,0),1))</f>
        <v/>
      </c>
      <c r="H651" s="23" t="str">
        <f aca="false">IF(G651="","",G651/100*INDEX(Alimentos!$E$5:$E$40,MATCH($D651,Alimentos!$B$5:$B$40,0)))</f>
        <v/>
      </c>
      <c r="I651" s="23" t="str">
        <f aca="false">IF(G651="","",G651/100*INDEX(Alimentos!$F$5:$F$40,MATCH($D651,Alimentos!$B$5:$B$40,0)))</f>
        <v/>
      </c>
      <c r="J651" s="23" t="str">
        <f aca="false">IF(G651="","",G651/100*INDEX(Alimentos!$G$5:$G$40,MATCH($D651,Alimentos!$B$5:$B$40,0)))</f>
        <v/>
      </c>
      <c r="K651" s="23" t="str">
        <f aca="false">IF(G651="","",G651/100*INDEX(Alimentos!$H$5:$H$40,MATCH($D651,Alimentos!$B$5:$B$40,0)))</f>
        <v/>
      </c>
      <c r="L651" s="24" t="str">
        <f aca="false">IF(OR(A651="",B651=""),"",Perfil!$C$13+(A651-1)*7+MATCH(B651,{"Lunes","Martes","Miércoles","Jueves","Viernes","Sábado","Domingo"},0)-1)</f>
        <v/>
      </c>
    </row>
    <row r="652" customFormat="false" ht="15" hidden="false" customHeight="false" outlineLevel="0" collapsed="false">
      <c r="G652" s="23" t="str">
        <f aca="false">IF(OR(D652="",E652=""),"",E652*IFERROR(VLOOKUP(F652,Perfil!$B$19:$C$24,2,0),1))</f>
        <v/>
      </c>
      <c r="H652" s="23" t="str">
        <f aca="false">IF(G652="","",G652/100*INDEX(Alimentos!$E$5:$E$40,MATCH($D652,Alimentos!$B$5:$B$40,0)))</f>
        <v/>
      </c>
      <c r="I652" s="23" t="str">
        <f aca="false">IF(G652="","",G652/100*INDEX(Alimentos!$F$5:$F$40,MATCH($D652,Alimentos!$B$5:$B$40,0)))</f>
        <v/>
      </c>
      <c r="J652" s="23" t="str">
        <f aca="false">IF(G652="","",G652/100*INDEX(Alimentos!$G$5:$G$40,MATCH($D652,Alimentos!$B$5:$B$40,0)))</f>
        <v/>
      </c>
      <c r="K652" s="23" t="str">
        <f aca="false">IF(G652="","",G652/100*INDEX(Alimentos!$H$5:$H$40,MATCH($D652,Alimentos!$B$5:$B$40,0)))</f>
        <v/>
      </c>
      <c r="L652" s="24" t="str">
        <f aca="false">IF(OR(A652="",B652=""),"",Perfil!$C$13+(A652-1)*7+MATCH(B652,{"Lunes","Martes","Miércoles","Jueves","Viernes","Sábado","Domingo"},0)-1)</f>
        <v/>
      </c>
    </row>
    <row r="653" customFormat="false" ht="15" hidden="false" customHeight="false" outlineLevel="0" collapsed="false">
      <c r="G653" s="23" t="str">
        <f aca="false">IF(OR(D653="",E653=""),"",E653*IFERROR(VLOOKUP(F653,Perfil!$B$19:$C$24,2,0),1))</f>
        <v/>
      </c>
      <c r="H653" s="23" t="str">
        <f aca="false">IF(G653="","",G653/100*INDEX(Alimentos!$E$5:$E$40,MATCH($D653,Alimentos!$B$5:$B$40,0)))</f>
        <v/>
      </c>
      <c r="I653" s="23" t="str">
        <f aca="false">IF(G653="","",G653/100*INDEX(Alimentos!$F$5:$F$40,MATCH($D653,Alimentos!$B$5:$B$40,0)))</f>
        <v/>
      </c>
      <c r="J653" s="23" t="str">
        <f aca="false">IF(G653="","",G653/100*INDEX(Alimentos!$G$5:$G$40,MATCH($D653,Alimentos!$B$5:$B$40,0)))</f>
        <v/>
      </c>
      <c r="K653" s="23" t="str">
        <f aca="false">IF(G653="","",G653/100*INDEX(Alimentos!$H$5:$H$40,MATCH($D653,Alimentos!$B$5:$B$40,0)))</f>
        <v/>
      </c>
      <c r="L653" s="24" t="str">
        <f aca="false">IF(OR(A653="",B653=""),"",Perfil!$C$13+(A653-1)*7+MATCH(B653,{"Lunes","Martes","Miércoles","Jueves","Viernes","Sábado","Domingo"},0)-1)</f>
        <v/>
      </c>
    </row>
    <row r="654" customFormat="false" ht="15" hidden="false" customHeight="false" outlineLevel="0" collapsed="false">
      <c r="G654" s="23" t="str">
        <f aca="false">IF(OR(D654="",E654=""),"",E654*IFERROR(VLOOKUP(F654,Perfil!$B$19:$C$24,2,0),1))</f>
        <v/>
      </c>
      <c r="H654" s="23" t="str">
        <f aca="false">IF(G654="","",G654/100*INDEX(Alimentos!$E$5:$E$40,MATCH($D654,Alimentos!$B$5:$B$40,0)))</f>
        <v/>
      </c>
      <c r="I654" s="23" t="str">
        <f aca="false">IF(G654="","",G654/100*INDEX(Alimentos!$F$5:$F$40,MATCH($D654,Alimentos!$B$5:$B$40,0)))</f>
        <v/>
      </c>
      <c r="J654" s="23" t="str">
        <f aca="false">IF(G654="","",G654/100*INDEX(Alimentos!$G$5:$G$40,MATCH($D654,Alimentos!$B$5:$B$40,0)))</f>
        <v/>
      </c>
      <c r="K654" s="23" t="str">
        <f aca="false">IF(G654="","",G654/100*INDEX(Alimentos!$H$5:$H$40,MATCH($D654,Alimentos!$B$5:$B$40,0)))</f>
        <v/>
      </c>
      <c r="L654" s="24" t="str">
        <f aca="false">IF(OR(A654="",B654=""),"",Perfil!$C$13+(A654-1)*7+MATCH(B654,{"Lunes","Martes","Miércoles","Jueves","Viernes","Sábado","Domingo"},0)-1)</f>
        <v/>
      </c>
    </row>
    <row r="655" customFormat="false" ht="15" hidden="false" customHeight="false" outlineLevel="0" collapsed="false">
      <c r="G655" s="23" t="str">
        <f aca="false">IF(OR(D655="",E655=""),"",E655*IFERROR(VLOOKUP(F655,Perfil!$B$19:$C$24,2,0),1))</f>
        <v/>
      </c>
      <c r="H655" s="23" t="str">
        <f aca="false">IF(G655="","",G655/100*INDEX(Alimentos!$E$5:$E$40,MATCH($D655,Alimentos!$B$5:$B$40,0)))</f>
        <v/>
      </c>
      <c r="I655" s="23" t="str">
        <f aca="false">IF(G655="","",G655/100*INDEX(Alimentos!$F$5:$F$40,MATCH($D655,Alimentos!$B$5:$B$40,0)))</f>
        <v/>
      </c>
      <c r="J655" s="23" t="str">
        <f aca="false">IF(G655="","",G655/100*INDEX(Alimentos!$G$5:$G$40,MATCH($D655,Alimentos!$B$5:$B$40,0)))</f>
        <v/>
      </c>
      <c r="K655" s="23" t="str">
        <f aca="false">IF(G655="","",G655/100*INDEX(Alimentos!$H$5:$H$40,MATCH($D655,Alimentos!$B$5:$B$40,0)))</f>
        <v/>
      </c>
      <c r="L655" s="24" t="str">
        <f aca="false">IF(OR(A655="",B655=""),"",Perfil!$C$13+(A655-1)*7+MATCH(B655,{"Lunes","Martes","Miércoles","Jueves","Viernes","Sábado","Domingo"},0)-1)</f>
        <v/>
      </c>
    </row>
    <row r="656" customFormat="false" ht="15" hidden="false" customHeight="false" outlineLevel="0" collapsed="false">
      <c r="G656" s="23" t="str">
        <f aca="false">IF(OR(D656="",E656=""),"",E656*IFERROR(VLOOKUP(F656,Perfil!$B$19:$C$24,2,0),1))</f>
        <v/>
      </c>
      <c r="H656" s="23" t="str">
        <f aca="false">IF(G656="","",G656/100*INDEX(Alimentos!$E$5:$E$40,MATCH($D656,Alimentos!$B$5:$B$40,0)))</f>
        <v/>
      </c>
      <c r="I656" s="23" t="str">
        <f aca="false">IF(G656="","",G656/100*INDEX(Alimentos!$F$5:$F$40,MATCH($D656,Alimentos!$B$5:$B$40,0)))</f>
        <v/>
      </c>
      <c r="J656" s="23" t="str">
        <f aca="false">IF(G656="","",G656/100*INDEX(Alimentos!$G$5:$G$40,MATCH($D656,Alimentos!$B$5:$B$40,0)))</f>
        <v/>
      </c>
      <c r="K656" s="23" t="str">
        <f aca="false">IF(G656="","",G656/100*INDEX(Alimentos!$H$5:$H$40,MATCH($D656,Alimentos!$B$5:$B$40,0)))</f>
        <v/>
      </c>
      <c r="L656" s="24" t="str">
        <f aca="false">IF(OR(A656="",B656=""),"",Perfil!$C$13+(A656-1)*7+MATCH(B656,{"Lunes","Martes","Miércoles","Jueves","Viernes","Sábado","Domingo"},0)-1)</f>
        <v/>
      </c>
    </row>
    <row r="657" customFormat="false" ht="15" hidden="false" customHeight="false" outlineLevel="0" collapsed="false">
      <c r="G657" s="23" t="str">
        <f aca="false">IF(OR(D657="",E657=""),"",E657*IFERROR(VLOOKUP(F657,Perfil!$B$19:$C$24,2,0),1))</f>
        <v/>
      </c>
      <c r="H657" s="23" t="str">
        <f aca="false">IF(G657="","",G657/100*INDEX(Alimentos!$E$5:$E$40,MATCH($D657,Alimentos!$B$5:$B$40,0)))</f>
        <v/>
      </c>
      <c r="I657" s="23" t="str">
        <f aca="false">IF(G657="","",G657/100*INDEX(Alimentos!$F$5:$F$40,MATCH($D657,Alimentos!$B$5:$B$40,0)))</f>
        <v/>
      </c>
      <c r="J657" s="23" t="str">
        <f aca="false">IF(G657="","",G657/100*INDEX(Alimentos!$G$5:$G$40,MATCH($D657,Alimentos!$B$5:$B$40,0)))</f>
        <v/>
      </c>
      <c r="K657" s="23" t="str">
        <f aca="false">IF(G657="","",G657/100*INDEX(Alimentos!$H$5:$H$40,MATCH($D657,Alimentos!$B$5:$B$40,0)))</f>
        <v/>
      </c>
      <c r="L657" s="24" t="str">
        <f aca="false">IF(OR(A657="",B657=""),"",Perfil!$C$13+(A657-1)*7+MATCH(B657,{"Lunes","Martes","Miércoles","Jueves","Viernes","Sábado","Domingo"},0)-1)</f>
        <v/>
      </c>
    </row>
    <row r="658" customFormat="false" ht="15" hidden="false" customHeight="false" outlineLevel="0" collapsed="false">
      <c r="G658" s="23" t="str">
        <f aca="false">IF(OR(D658="",E658=""),"",E658*IFERROR(VLOOKUP(F658,Perfil!$B$19:$C$24,2,0),1))</f>
        <v/>
      </c>
      <c r="H658" s="23" t="str">
        <f aca="false">IF(G658="","",G658/100*INDEX(Alimentos!$E$5:$E$40,MATCH($D658,Alimentos!$B$5:$B$40,0)))</f>
        <v/>
      </c>
      <c r="I658" s="23" t="str">
        <f aca="false">IF(G658="","",G658/100*INDEX(Alimentos!$F$5:$F$40,MATCH($D658,Alimentos!$B$5:$B$40,0)))</f>
        <v/>
      </c>
      <c r="J658" s="23" t="str">
        <f aca="false">IF(G658="","",G658/100*INDEX(Alimentos!$G$5:$G$40,MATCH($D658,Alimentos!$B$5:$B$40,0)))</f>
        <v/>
      </c>
      <c r="K658" s="23" t="str">
        <f aca="false">IF(G658="","",G658/100*INDEX(Alimentos!$H$5:$H$40,MATCH($D658,Alimentos!$B$5:$B$40,0)))</f>
        <v/>
      </c>
      <c r="L658" s="24" t="str">
        <f aca="false">IF(OR(A658="",B658=""),"",Perfil!$C$13+(A658-1)*7+MATCH(B658,{"Lunes","Martes","Miércoles","Jueves","Viernes","Sábado","Domingo"},0)-1)</f>
        <v/>
      </c>
    </row>
    <row r="659" customFormat="false" ht="15" hidden="false" customHeight="false" outlineLevel="0" collapsed="false">
      <c r="G659" s="23" t="str">
        <f aca="false">IF(OR(D659="",E659=""),"",E659*IFERROR(VLOOKUP(F659,Perfil!$B$19:$C$24,2,0),1))</f>
        <v/>
      </c>
      <c r="H659" s="23" t="str">
        <f aca="false">IF(G659="","",G659/100*INDEX(Alimentos!$E$5:$E$40,MATCH($D659,Alimentos!$B$5:$B$40,0)))</f>
        <v/>
      </c>
      <c r="I659" s="23" t="str">
        <f aca="false">IF(G659="","",G659/100*INDEX(Alimentos!$F$5:$F$40,MATCH($D659,Alimentos!$B$5:$B$40,0)))</f>
        <v/>
      </c>
      <c r="J659" s="23" t="str">
        <f aca="false">IF(G659="","",G659/100*INDEX(Alimentos!$G$5:$G$40,MATCH($D659,Alimentos!$B$5:$B$40,0)))</f>
        <v/>
      </c>
      <c r="K659" s="23" t="str">
        <f aca="false">IF(G659="","",G659/100*INDEX(Alimentos!$H$5:$H$40,MATCH($D659,Alimentos!$B$5:$B$40,0)))</f>
        <v/>
      </c>
      <c r="L659" s="24" t="str">
        <f aca="false">IF(OR(A659="",B659=""),"",Perfil!$C$13+(A659-1)*7+MATCH(B659,{"Lunes","Martes","Miércoles","Jueves","Viernes","Sábado","Domingo"},0)-1)</f>
        <v/>
      </c>
    </row>
    <row r="660" customFormat="false" ht="15" hidden="false" customHeight="false" outlineLevel="0" collapsed="false">
      <c r="G660" s="23" t="str">
        <f aca="false">IF(OR(D660="",E660=""),"",E660*IFERROR(VLOOKUP(F660,Perfil!$B$19:$C$24,2,0),1))</f>
        <v/>
      </c>
      <c r="H660" s="23" t="str">
        <f aca="false">IF(G660="","",G660/100*INDEX(Alimentos!$E$5:$E$40,MATCH($D660,Alimentos!$B$5:$B$40,0)))</f>
        <v/>
      </c>
      <c r="I660" s="23" t="str">
        <f aca="false">IF(G660="","",G660/100*INDEX(Alimentos!$F$5:$F$40,MATCH($D660,Alimentos!$B$5:$B$40,0)))</f>
        <v/>
      </c>
      <c r="J660" s="23" t="str">
        <f aca="false">IF(G660="","",G660/100*INDEX(Alimentos!$G$5:$G$40,MATCH($D660,Alimentos!$B$5:$B$40,0)))</f>
        <v/>
      </c>
      <c r="K660" s="23" t="str">
        <f aca="false">IF(G660="","",G660/100*INDEX(Alimentos!$H$5:$H$40,MATCH($D660,Alimentos!$B$5:$B$40,0)))</f>
        <v/>
      </c>
      <c r="L660" s="24" t="str">
        <f aca="false">IF(OR(A660="",B660=""),"",Perfil!$C$13+(A660-1)*7+MATCH(B660,{"Lunes","Martes","Miércoles","Jueves","Viernes","Sábado","Domingo"},0)-1)</f>
        <v/>
      </c>
    </row>
    <row r="661" customFormat="false" ht="15" hidden="false" customHeight="false" outlineLevel="0" collapsed="false">
      <c r="G661" s="23" t="str">
        <f aca="false">IF(OR(D661="",E661=""),"",E661*IFERROR(VLOOKUP(F661,Perfil!$B$19:$C$24,2,0),1))</f>
        <v/>
      </c>
      <c r="H661" s="23" t="str">
        <f aca="false">IF(G661="","",G661/100*INDEX(Alimentos!$E$5:$E$40,MATCH($D661,Alimentos!$B$5:$B$40,0)))</f>
        <v/>
      </c>
      <c r="I661" s="23" t="str">
        <f aca="false">IF(G661="","",G661/100*INDEX(Alimentos!$F$5:$F$40,MATCH($D661,Alimentos!$B$5:$B$40,0)))</f>
        <v/>
      </c>
      <c r="J661" s="23" t="str">
        <f aca="false">IF(G661="","",G661/100*INDEX(Alimentos!$G$5:$G$40,MATCH($D661,Alimentos!$B$5:$B$40,0)))</f>
        <v/>
      </c>
      <c r="K661" s="23" t="str">
        <f aca="false">IF(G661="","",G661/100*INDEX(Alimentos!$H$5:$H$40,MATCH($D661,Alimentos!$B$5:$B$40,0)))</f>
        <v/>
      </c>
      <c r="L661" s="24" t="str">
        <f aca="false">IF(OR(A661="",B661=""),"",Perfil!$C$13+(A661-1)*7+MATCH(B661,{"Lunes","Martes","Miércoles","Jueves","Viernes","Sábado","Domingo"},0)-1)</f>
        <v/>
      </c>
    </row>
    <row r="662" customFormat="false" ht="15" hidden="false" customHeight="false" outlineLevel="0" collapsed="false">
      <c r="G662" s="23" t="str">
        <f aca="false">IF(OR(D662="",E662=""),"",E662*IFERROR(VLOOKUP(F662,Perfil!$B$19:$C$24,2,0),1))</f>
        <v/>
      </c>
      <c r="H662" s="23" t="str">
        <f aca="false">IF(G662="","",G662/100*INDEX(Alimentos!$E$5:$E$40,MATCH($D662,Alimentos!$B$5:$B$40,0)))</f>
        <v/>
      </c>
      <c r="I662" s="23" t="str">
        <f aca="false">IF(G662="","",G662/100*INDEX(Alimentos!$F$5:$F$40,MATCH($D662,Alimentos!$B$5:$B$40,0)))</f>
        <v/>
      </c>
      <c r="J662" s="23" t="str">
        <f aca="false">IF(G662="","",G662/100*INDEX(Alimentos!$G$5:$G$40,MATCH($D662,Alimentos!$B$5:$B$40,0)))</f>
        <v/>
      </c>
      <c r="K662" s="23" t="str">
        <f aca="false">IF(G662="","",G662/100*INDEX(Alimentos!$H$5:$H$40,MATCH($D662,Alimentos!$B$5:$B$40,0)))</f>
        <v/>
      </c>
      <c r="L662" s="24" t="str">
        <f aca="false">IF(OR(A662="",B662=""),"",Perfil!$C$13+(A662-1)*7+MATCH(B662,{"Lunes","Martes","Miércoles","Jueves","Viernes","Sábado","Domingo"},0)-1)</f>
        <v/>
      </c>
    </row>
    <row r="663" customFormat="false" ht="15" hidden="false" customHeight="false" outlineLevel="0" collapsed="false">
      <c r="G663" s="23" t="str">
        <f aca="false">IF(OR(D663="",E663=""),"",E663*IFERROR(VLOOKUP(F663,Perfil!$B$19:$C$24,2,0),1))</f>
        <v/>
      </c>
      <c r="H663" s="23" t="str">
        <f aca="false">IF(G663="","",G663/100*INDEX(Alimentos!$E$5:$E$40,MATCH($D663,Alimentos!$B$5:$B$40,0)))</f>
        <v/>
      </c>
      <c r="I663" s="23" t="str">
        <f aca="false">IF(G663="","",G663/100*INDEX(Alimentos!$F$5:$F$40,MATCH($D663,Alimentos!$B$5:$B$40,0)))</f>
        <v/>
      </c>
      <c r="J663" s="23" t="str">
        <f aca="false">IF(G663="","",G663/100*INDEX(Alimentos!$G$5:$G$40,MATCH($D663,Alimentos!$B$5:$B$40,0)))</f>
        <v/>
      </c>
      <c r="K663" s="23" t="str">
        <f aca="false">IF(G663="","",G663/100*INDEX(Alimentos!$H$5:$H$40,MATCH($D663,Alimentos!$B$5:$B$40,0)))</f>
        <v/>
      </c>
      <c r="L663" s="24" t="str">
        <f aca="false">IF(OR(A663="",B663=""),"",Perfil!$C$13+(A663-1)*7+MATCH(B663,{"Lunes","Martes","Miércoles","Jueves","Viernes","Sábado","Domingo"},0)-1)</f>
        <v/>
      </c>
    </row>
    <row r="664" customFormat="false" ht="15" hidden="false" customHeight="false" outlineLevel="0" collapsed="false">
      <c r="G664" s="23" t="str">
        <f aca="false">IF(OR(D664="",E664=""),"",E664*IFERROR(VLOOKUP(F664,Perfil!$B$19:$C$24,2,0),1))</f>
        <v/>
      </c>
      <c r="H664" s="23" t="str">
        <f aca="false">IF(G664="","",G664/100*INDEX(Alimentos!$E$5:$E$40,MATCH($D664,Alimentos!$B$5:$B$40,0)))</f>
        <v/>
      </c>
      <c r="I664" s="23" t="str">
        <f aca="false">IF(G664="","",G664/100*INDEX(Alimentos!$F$5:$F$40,MATCH($D664,Alimentos!$B$5:$B$40,0)))</f>
        <v/>
      </c>
      <c r="J664" s="23" t="str">
        <f aca="false">IF(G664="","",G664/100*INDEX(Alimentos!$G$5:$G$40,MATCH($D664,Alimentos!$B$5:$B$40,0)))</f>
        <v/>
      </c>
      <c r="K664" s="23" t="str">
        <f aca="false">IF(G664="","",G664/100*INDEX(Alimentos!$H$5:$H$40,MATCH($D664,Alimentos!$B$5:$B$40,0)))</f>
        <v/>
      </c>
      <c r="L664" s="24" t="str">
        <f aca="false">IF(OR(A664="",B664=""),"",Perfil!$C$13+(A664-1)*7+MATCH(B664,{"Lunes","Martes","Miércoles","Jueves","Viernes","Sábado","Domingo"},0)-1)</f>
        <v/>
      </c>
    </row>
    <row r="665" customFormat="false" ht="15" hidden="false" customHeight="false" outlineLevel="0" collapsed="false">
      <c r="G665" s="23" t="str">
        <f aca="false">IF(OR(D665="",E665=""),"",E665*IFERROR(VLOOKUP(F665,Perfil!$B$19:$C$24,2,0),1))</f>
        <v/>
      </c>
      <c r="H665" s="23" t="str">
        <f aca="false">IF(G665="","",G665/100*INDEX(Alimentos!$E$5:$E$40,MATCH($D665,Alimentos!$B$5:$B$40,0)))</f>
        <v/>
      </c>
      <c r="I665" s="23" t="str">
        <f aca="false">IF(G665="","",G665/100*INDEX(Alimentos!$F$5:$F$40,MATCH($D665,Alimentos!$B$5:$B$40,0)))</f>
        <v/>
      </c>
      <c r="J665" s="23" t="str">
        <f aca="false">IF(G665="","",G665/100*INDEX(Alimentos!$G$5:$G$40,MATCH($D665,Alimentos!$B$5:$B$40,0)))</f>
        <v/>
      </c>
      <c r="K665" s="23" t="str">
        <f aca="false">IF(G665="","",G665/100*INDEX(Alimentos!$H$5:$H$40,MATCH($D665,Alimentos!$B$5:$B$40,0)))</f>
        <v/>
      </c>
      <c r="L665" s="24" t="str">
        <f aca="false">IF(OR(A665="",B665=""),"",Perfil!$C$13+(A665-1)*7+MATCH(B665,{"Lunes","Martes","Miércoles","Jueves","Viernes","Sábado","Domingo"},0)-1)</f>
        <v/>
      </c>
    </row>
    <row r="666" customFormat="false" ht="15" hidden="false" customHeight="false" outlineLevel="0" collapsed="false">
      <c r="G666" s="23" t="str">
        <f aca="false">IF(OR(D666="",E666=""),"",E666*IFERROR(VLOOKUP(F666,Perfil!$B$19:$C$24,2,0),1))</f>
        <v/>
      </c>
      <c r="H666" s="23" t="str">
        <f aca="false">IF(G666="","",G666/100*INDEX(Alimentos!$E$5:$E$40,MATCH($D666,Alimentos!$B$5:$B$40,0)))</f>
        <v/>
      </c>
      <c r="I666" s="23" t="str">
        <f aca="false">IF(G666="","",G666/100*INDEX(Alimentos!$F$5:$F$40,MATCH($D666,Alimentos!$B$5:$B$40,0)))</f>
        <v/>
      </c>
      <c r="J666" s="23" t="str">
        <f aca="false">IF(G666="","",G666/100*INDEX(Alimentos!$G$5:$G$40,MATCH($D666,Alimentos!$B$5:$B$40,0)))</f>
        <v/>
      </c>
      <c r="K666" s="23" t="str">
        <f aca="false">IF(G666="","",G666/100*INDEX(Alimentos!$H$5:$H$40,MATCH($D666,Alimentos!$B$5:$B$40,0)))</f>
        <v/>
      </c>
      <c r="L666" s="24" t="str">
        <f aca="false">IF(OR(A666="",B666=""),"",Perfil!$C$13+(A666-1)*7+MATCH(B666,{"Lunes","Martes","Miércoles","Jueves","Viernes","Sábado","Domingo"},0)-1)</f>
        <v/>
      </c>
    </row>
    <row r="667" customFormat="false" ht="15" hidden="false" customHeight="false" outlineLevel="0" collapsed="false">
      <c r="G667" s="23" t="str">
        <f aca="false">IF(OR(D667="",E667=""),"",E667*IFERROR(VLOOKUP(F667,Perfil!$B$19:$C$24,2,0),1))</f>
        <v/>
      </c>
      <c r="H667" s="23" t="str">
        <f aca="false">IF(G667="","",G667/100*INDEX(Alimentos!$E$5:$E$40,MATCH($D667,Alimentos!$B$5:$B$40,0)))</f>
        <v/>
      </c>
      <c r="I667" s="23" t="str">
        <f aca="false">IF(G667="","",G667/100*INDEX(Alimentos!$F$5:$F$40,MATCH($D667,Alimentos!$B$5:$B$40,0)))</f>
        <v/>
      </c>
      <c r="J667" s="23" t="str">
        <f aca="false">IF(G667="","",G667/100*INDEX(Alimentos!$G$5:$G$40,MATCH($D667,Alimentos!$B$5:$B$40,0)))</f>
        <v/>
      </c>
      <c r="K667" s="23" t="str">
        <f aca="false">IF(G667="","",G667/100*INDEX(Alimentos!$H$5:$H$40,MATCH($D667,Alimentos!$B$5:$B$40,0)))</f>
        <v/>
      </c>
      <c r="L667" s="24" t="str">
        <f aca="false">IF(OR(A667="",B667=""),"",Perfil!$C$13+(A667-1)*7+MATCH(B667,{"Lunes","Martes","Miércoles","Jueves","Viernes","Sábado","Domingo"},0)-1)</f>
        <v/>
      </c>
    </row>
    <row r="668" customFormat="false" ht="15" hidden="false" customHeight="false" outlineLevel="0" collapsed="false">
      <c r="G668" s="23" t="str">
        <f aca="false">IF(OR(D668="",E668=""),"",E668*IFERROR(VLOOKUP(F668,Perfil!$B$19:$C$24,2,0),1))</f>
        <v/>
      </c>
      <c r="H668" s="23" t="str">
        <f aca="false">IF(G668="","",G668/100*INDEX(Alimentos!$E$5:$E$40,MATCH($D668,Alimentos!$B$5:$B$40,0)))</f>
        <v/>
      </c>
      <c r="I668" s="23" t="str">
        <f aca="false">IF(G668="","",G668/100*INDEX(Alimentos!$F$5:$F$40,MATCH($D668,Alimentos!$B$5:$B$40,0)))</f>
        <v/>
      </c>
      <c r="J668" s="23" t="str">
        <f aca="false">IF(G668="","",G668/100*INDEX(Alimentos!$G$5:$G$40,MATCH($D668,Alimentos!$B$5:$B$40,0)))</f>
        <v/>
      </c>
      <c r="K668" s="23" t="str">
        <f aca="false">IF(G668="","",G668/100*INDEX(Alimentos!$H$5:$H$40,MATCH($D668,Alimentos!$B$5:$B$40,0)))</f>
        <v/>
      </c>
      <c r="L668" s="24" t="str">
        <f aca="false">IF(OR(A668="",B668=""),"",Perfil!$C$13+(A668-1)*7+MATCH(B668,{"Lunes","Martes","Miércoles","Jueves","Viernes","Sábado","Domingo"},0)-1)</f>
        <v/>
      </c>
    </row>
    <row r="669" customFormat="false" ht="15" hidden="false" customHeight="false" outlineLevel="0" collapsed="false">
      <c r="G669" s="23" t="str">
        <f aca="false">IF(OR(D669="",E669=""),"",E669*IFERROR(VLOOKUP(F669,Perfil!$B$19:$C$24,2,0),1))</f>
        <v/>
      </c>
      <c r="H669" s="23" t="str">
        <f aca="false">IF(G669="","",G669/100*INDEX(Alimentos!$E$5:$E$40,MATCH($D669,Alimentos!$B$5:$B$40,0)))</f>
        <v/>
      </c>
      <c r="I669" s="23" t="str">
        <f aca="false">IF(G669="","",G669/100*INDEX(Alimentos!$F$5:$F$40,MATCH($D669,Alimentos!$B$5:$B$40,0)))</f>
        <v/>
      </c>
      <c r="J669" s="23" t="str">
        <f aca="false">IF(G669="","",G669/100*INDEX(Alimentos!$G$5:$G$40,MATCH($D669,Alimentos!$B$5:$B$40,0)))</f>
        <v/>
      </c>
      <c r="K669" s="23" t="str">
        <f aca="false">IF(G669="","",G669/100*INDEX(Alimentos!$H$5:$H$40,MATCH($D669,Alimentos!$B$5:$B$40,0)))</f>
        <v/>
      </c>
      <c r="L669" s="24" t="str">
        <f aca="false">IF(OR(A669="",B669=""),"",Perfil!$C$13+(A669-1)*7+MATCH(B669,{"Lunes","Martes","Miércoles","Jueves","Viernes","Sábado","Domingo"},0)-1)</f>
        <v/>
      </c>
    </row>
    <row r="670" customFormat="false" ht="15" hidden="false" customHeight="false" outlineLevel="0" collapsed="false">
      <c r="G670" s="23" t="str">
        <f aca="false">IF(OR(D670="",E670=""),"",E670*IFERROR(VLOOKUP(F670,Perfil!$B$19:$C$24,2,0),1))</f>
        <v/>
      </c>
      <c r="H670" s="23" t="str">
        <f aca="false">IF(G670="","",G670/100*INDEX(Alimentos!$E$5:$E$40,MATCH($D670,Alimentos!$B$5:$B$40,0)))</f>
        <v/>
      </c>
      <c r="I670" s="23" t="str">
        <f aca="false">IF(G670="","",G670/100*INDEX(Alimentos!$F$5:$F$40,MATCH($D670,Alimentos!$B$5:$B$40,0)))</f>
        <v/>
      </c>
      <c r="J670" s="23" t="str">
        <f aca="false">IF(G670="","",G670/100*INDEX(Alimentos!$G$5:$G$40,MATCH($D670,Alimentos!$B$5:$B$40,0)))</f>
        <v/>
      </c>
      <c r="K670" s="23" t="str">
        <f aca="false">IF(G670="","",G670/100*INDEX(Alimentos!$H$5:$H$40,MATCH($D670,Alimentos!$B$5:$B$40,0)))</f>
        <v/>
      </c>
      <c r="L670" s="24" t="str">
        <f aca="false">IF(OR(A670="",B670=""),"",Perfil!$C$13+(A670-1)*7+MATCH(B670,{"Lunes","Martes","Miércoles","Jueves","Viernes","Sábado","Domingo"},0)-1)</f>
        <v/>
      </c>
    </row>
    <row r="671" customFormat="false" ht="15" hidden="false" customHeight="false" outlineLevel="0" collapsed="false">
      <c r="G671" s="23" t="str">
        <f aca="false">IF(OR(D671="",E671=""),"",E671*IFERROR(VLOOKUP(F671,Perfil!$B$19:$C$24,2,0),1))</f>
        <v/>
      </c>
      <c r="H671" s="23" t="str">
        <f aca="false">IF(G671="","",G671/100*INDEX(Alimentos!$E$5:$E$40,MATCH($D671,Alimentos!$B$5:$B$40,0)))</f>
        <v/>
      </c>
      <c r="I671" s="23" t="str">
        <f aca="false">IF(G671="","",G671/100*INDEX(Alimentos!$F$5:$F$40,MATCH($D671,Alimentos!$B$5:$B$40,0)))</f>
        <v/>
      </c>
      <c r="J671" s="23" t="str">
        <f aca="false">IF(G671="","",G671/100*INDEX(Alimentos!$G$5:$G$40,MATCH($D671,Alimentos!$B$5:$B$40,0)))</f>
        <v/>
      </c>
      <c r="K671" s="23" t="str">
        <f aca="false">IF(G671="","",G671/100*INDEX(Alimentos!$H$5:$H$40,MATCH($D671,Alimentos!$B$5:$B$40,0)))</f>
        <v/>
      </c>
      <c r="L671" s="24" t="str">
        <f aca="false">IF(OR(A671="",B671=""),"",Perfil!$C$13+(A671-1)*7+MATCH(B671,{"Lunes","Martes","Miércoles","Jueves","Viernes","Sábado","Domingo"},0)-1)</f>
        <v/>
      </c>
    </row>
    <row r="672" customFormat="false" ht="15" hidden="false" customHeight="false" outlineLevel="0" collapsed="false">
      <c r="G672" s="23" t="str">
        <f aca="false">IF(OR(D672="",E672=""),"",E672*IFERROR(VLOOKUP(F672,Perfil!$B$19:$C$24,2,0),1))</f>
        <v/>
      </c>
      <c r="H672" s="23" t="str">
        <f aca="false">IF(G672="","",G672/100*INDEX(Alimentos!$E$5:$E$40,MATCH($D672,Alimentos!$B$5:$B$40,0)))</f>
        <v/>
      </c>
      <c r="I672" s="23" t="str">
        <f aca="false">IF(G672="","",G672/100*INDEX(Alimentos!$F$5:$F$40,MATCH($D672,Alimentos!$B$5:$B$40,0)))</f>
        <v/>
      </c>
      <c r="J672" s="23" t="str">
        <f aca="false">IF(G672="","",G672/100*INDEX(Alimentos!$G$5:$G$40,MATCH($D672,Alimentos!$B$5:$B$40,0)))</f>
        <v/>
      </c>
      <c r="K672" s="23" t="str">
        <f aca="false">IF(G672="","",G672/100*INDEX(Alimentos!$H$5:$H$40,MATCH($D672,Alimentos!$B$5:$B$40,0)))</f>
        <v/>
      </c>
      <c r="L672" s="24" t="str">
        <f aca="false">IF(OR(A672="",B672=""),"",Perfil!$C$13+(A672-1)*7+MATCH(B672,{"Lunes","Martes","Miércoles","Jueves","Viernes","Sábado","Domingo"},0)-1)</f>
        <v/>
      </c>
    </row>
    <row r="673" customFormat="false" ht="15" hidden="false" customHeight="false" outlineLevel="0" collapsed="false">
      <c r="G673" s="23" t="str">
        <f aca="false">IF(OR(D673="",E673=""),"",E673*IFERROR(VLOOKUP(F673,Perfil!$B$19:$C$24,2,0),1))</f>
        <v/>
      </c>
      <c r="H673" s="23" t="str">
        <f aca="false">IF(G673="","",G673/100*INDEX(Alimentos!$E$5:$E$40,MATCH($D673,Alimentos!$B$5:$B$40,0)))</f>
        <v/>
      </c>
      <c r="I673" s="23" t="str">
        <f aca="false">IF(G673="","",G673/100*INDEX(Alimentos!$F$5:$F$40,MATCH($D673,Alimentos!$B$5:$B$40,0)))</f>
        <v/>
      </c>
      <c r="J673" s="23" t="str">
        <f aca="false">IF(G673="","",G673/100*INDEX(Alimentos!$G$5:$G$40,MATCH($D673,Alimentos!$B$5:$B$40,0)))</f>
        <v/>
      </c>
      <c r="K673" s="23" t="str">
        <f aca="false">IF(G673="","",G673/100*INDEX(Alimentos!$H$5:$H$40,MATCH($D673,Alimentos!$B$5:$B$40,0)))</f>
        <v/>
      </c>
      <c r="L673" s="24" t="str">
        <f aca="false">IF(OR(A673="",B673=""),"",Perfil!$C$13+(A673-1)*7+MATCH(B673,{"Lunes","Martes","Miércoles","Jueves","Viernes","Sábado","Domingo"},0)-1)</f>
        <v/>
      </c>
    </row>
    <row r="674" customFormat="false" ht="15" hidden="false" customHeight="false" outlineLevel="0" collapsed="false">
      <c r="G674" s="23" t="str">
        <f aca="false">IF(OR(D674="",E674=""),"",E674*IFERROR(VLOOKUP(F674,Perfil!$B$19:$C$24,2,0),1))</f>
        <v/>
      </c>
      <c r="H674" s="23" t="str">
        <f aca="false">IF(G674="","",G674/100*INDEX(Alimentos!$E$5:$E$40,MATCH($D674,Alimentos!$B$5:$B$40,0)))</f>
        <v/>
      </c>
      <c r="I674" s="23" t="str">
        <f aca="false">IF(G674="","",G674/100*INDEX(Alimentos!$F$5:$F$40,MATCH($D674,Alimentos!$B$5:$B$40,0)))</f>
        <v/>
      </c>
      <c r="J674" s="23" t="str">
        <f aca="false">IF(G674="","",G674/100*INDEX(Alimentos!$G$5:$G$40,MATCH($D674,Alimentos!$B$5:$B$40,0)))</f>
        <v/>
      </c>
      <c r="K674" s="23" t="str">
        <f aca="false">IF(G674="","",G674/100*INDEX(Alimentos!$H$5:$H$40,MATCH($D674,Alimentos!$B$5:$B$40,0)))</f>
        <v/>
      </c>
      <c r="L674" s="24" t="str">
        <f aca="false">IF(OR(A674="",B674=""),"",Perfil!$C$13+(A674-1)*7+MATCH(B674,{"Lunes","Martes","Miércoles","Jueves","Viernes","Sábado","Domingo"},0)-1)</f>
        <v/>
      </c>
    </row>
    <row r="675" customFormat="false" ht="15" hidden="false" customHeight="false" outlineLevel="0" collapsed="false">
      <c r="G675" s="23" t="str">
        <f aca="false">IF(OR(D675="",E675=""),"",E675*IFERROR(VLOOKUP(F675,Perfil!$B$19:$C$24,2,0),1))</f>
        <v/>
      </c>
      <c r="H675" s="23" t="str">
        <f aca="false">IF(G675="","",G675/100*INDEX(Alimentos!$E$5:$E$40,MATCH($D675,Alimentos!$B$5:$B$40,0)))</f>
        <v/>
      </c>
      <c r="I675" s="23" t="str">
        <f aca="false">IF(G675="","",G675/100*INDEX(Alimentos!$F$5:$F$40,MATCH($D675,Alimentos!$B$5:$B$40,0)))</f>
        <v/>
      </c>
      <c r="J675" s="23" t="str">
        <f aca="false">IF(G675="","",G675/100*INDEX(Alimentos!$G$5:$G$40,MATCH($D675,Alimentos!$B$5:$B$40,0)))</f>
        <v/>
      </c>
      <c r="K675" s="23" t="str">
        <f aca="false">IF(G675="","",G675/100*INDEX(Alimentos!$H$5:$H$40,MATCH($D675,Alimentos!$B$5:$B$40,0)))</f>
        <v/>
      </c>
      <c r="L675" s="24" t="str">
        <f aca="false">IF(OR(A675="",B675=""),"",Perfil!$C$13+(A675-1)*7+MATCH(B675,{"Lunes","Martes","Miércoles","Jueves","Viernes","Sábado","Domingo"},0)-1)</f>
        <v/>
      </c>
    </row>
    <row r="676" customFormat="false" ht="15" hidden="false" customHeight="false" outlineLevel="0" collapsed="false">
      <c r="G676" s="23" t="str">
        <f aca="false">IF(OR(D676="",E676=""),"",E676*IFERROR(VLOOKUP(F676,Perfil!$B$19:$C$24,2,0),1))</f>
        <v/>
      </c>
      <c r="H676" s="23" t="str">
        <f aca="false">IF(G676="","",G676/100*INDEX(Alimentos!$E$5:$E$40,MATCH($D676,Alimentos!$B$5:$B$40,0)))</f>
        <v/>
      </c>
      <c r="I676" s="23" t="str">
        <f aca="false">IF(G676="","",G676/100*INDEX(Alimentos!$F$5:$F$40,MATCH($D676,Alimentos!$B$5:$B$40,0)))</f>
        <v/>
      </c>
      <c r="J676" s="23" t="str">
        <f aca="false">IF(G676="","",G676/100*INDEX(Alimentos!$G$5:$G$40,MATCH($D676,Alimentos!$B$5:$B$40,0)))</f>
        <v/>
      </c>
      <c r="K676" s="23" t="str">
        <f aca="false">IF(G676="","",G676/100*INDEX(Alimentos!$H$5:$H$40,MATCH($D676,Alimentos!$B$5:$B$40,0)))</f>
        <v/>
      </c>
      <c r="L676" s="24" t="str">
        <f aca="false">IF(OR(A676="",B676=""),"",Perfil!$C$13+(A676-1)*7+MATCH(B676,{"Lunes","Martes","Miércoles","Jueves","Viernes","Sábado","Domingo"},0)-1)</f>
        <v/>
      </c>
    </row>
    <row r="677" customFormat="false" ht="15" hidden="false" customHeight="false" outlineLevel="0" collapsed="false">
      <c r="G677" s="23" t="str">
        <f aca="false">IF(OR(D677="",E677=""),"",E677*IFERROR(VLOOKUP(F677,Perfil!$B$19:$C$24,2,0),1))</f>
        <v/>
      </c>
      <c r="H677" s="23" t="str">
        <f aca="false">IF(G677="","",G677/100*INDEX(Alimentos!$E$5:$E$40,MATCH($D677,Alimentos!$B$5:$B$40,0)))</f>
        <v/>
      </c>
      <c r="I677" s="23" t="str">
        <f aca="false">IF(G677="","",G677/100*INDEX(Alimentos!$F$5:$F$40,MATCH($D677,Alimentos!$B$5:$B$40,0)))</f>
        <v/>
      </c>
      <c r="J677" s="23" t="str">
        <f aca="false">IF(G677="","",G677/100*INDEX(Alimentos!$G$5:$G$40,MATCH($D677,Alimentos!$B$5:$B$40,0)))</f>
        <v/>
      </c>
      <c r="K677" s="23" t="str">
        <f aca="false">IF(G677="","",G677/100*INDEX(Alimentos!$H$5:$H$40,MATCH($D677,Alimentos!$B$5:$B$40,0)))</f>
        <v/>
      </c>
      <c r="L677" s="24" t="str">
        <f aca="false">IF(OR(A677="",B677=""),"",Perfil!$C$13+(A677-1)*7+MATCH(B677,{"Lunes","Martes","Miércoles","Jueves","Viernes","Sábado","Domingo"},0)-1)</f>
        <v/>
      </c>
    </row>
    <row r="678" customFormat="false" ht="15" hidden="false" customHeight="false" outlineLevel="0" collapsed="false">
      <c r="G678" s="23" t="str">
        <f aca="false">IF(OR(D678="",E678=""),"",E678*IFERROR(VLOOKUP(F678,Perfil!$B$19:$C$24,2,0),1))</f>
        <v/>
      </c>
      <c r="H678" s="23" t="str">
        <f aca="false">IF(G678="","",G678/100*INDEX(Alimentos!$E$5:$E$40,MATCH($D678,Alimentos!$B$5:$B$40,0)))</f>
        <v/>
      </c>
      <c r="I678" s="23" t="str">
        <f aca="false">IF(G678="","",G678/100*INDEX(Alimentos!$F$5:$F$40,MATCH($D678,Alimentos!$B$5:$B$40,0)))</f>
        <v/>
      </c>
      <c r="J678" s="23" t="str">
        <f aca="false">IF(G678="","",G678/100*INDEX(Alimentos!$G$5:$G$40,MATCH($D678,Alimentos!$B$5:$B$40,0)))</f>
        <v/>
      </c>
      <c r="K678" s="23" t="str">
        <f aca="false">IF(G678="","",G678/100*INDEX(Alimentos!$H$5:$H$40,MATCH($D678,Alimentos!$B$5:$B$40,0)))</f>
        <v/>
      </c>
      <c r="L678" s="24" t="str">
        <f aca="false">IF(OR(A678="",B678=""),"",Perfil!$C$13+(A678-1)*7+MATCH(B678,{"Lunes","Martes","Miércoles","Jueves","Viernes","Sábado","Domingo"},0)-1)</f>
        <v/>
      </c>
    </row>
    <row r="679" customFormat="false" ht="15" hidden="false" customHeight="false" outlineLevel="0" collapsed="false">
      <c r="G679" s="23" t="str">
        <f aca="false">IF(OR(D679="",E679=""),"",E679*IFERROR(VLOOKUP(F679,Perfil!$B$19:$C$24,2,0),1))</f>
        <v/>
      </c>
      <c r="H679" s="23" t="str">
        <f aca="false">IF(G679="","",G679/100*INDEX(Alimentos!$E$5:$E$40,MATCH($D679,Alimentos!$B$5:$B$40,0)))</f>
        <v/>
      </c>
      <c r="I679" s="23" t="str">
        <f aca="false">IF(G679="","",G679/100*INDEX(Alimentos!$F$5:$F$40,MATCH($D679,Alimentos!$B$5:$B$40,0)))</f>
        <v/>
      </c>
      <c r="J679" s="23" t="str">
        <f aca="false">IF(G679="","",G679/100*INDEX(Alimentos!$G$5:$G$40,MATCH($D679,Alimentos!$B$5:$B$40,0)))</f>
        <v/>
      </c>
      <c r="K679" s="23" t="str">
        <f aca="false">IF(G679="","",G679/100*INDEX(Alimentos!$H$5:$H$40,MATCH($D679,Alimentos!$B$5:$B$40,0)))</f>
        <v/>
      </c>
      <c r="L679" s="24" t="str">
        <f aca="false">IF(OR(A679="",B679=""),"",Perfil!$C$13+(A679-1)*7+MATCH(B679,{"Lunes","Martes","Miércoles","Jueves","Viernes","Sábado","Domingo"},0)-1)</f>
        <v/>
      </c>
    </row>
    <row r="680" customFormat="false" ht="15" hidden="false" customHeight="false" outlineLevel="0" collapsed="false">
      <c r="G680" s="23" t="str">
        <f aca="false">IF(OR(D680="",E680=""),"",E680*IFERROR(VLOOKUP(F680,Perfil!$B$19:$C$24,2,0),1))</f>
        <v/>
      </c>
      <c r="H680" s="23" t="str">
        <f aca="false">IF(G680="","",G680/100*INDEX(Alimentos!$E$5:$E$40,MATCH($D680,Alimentos!$B$5:$B$40,0)))</f>
        <v/>
      </c>
      <c r="I680" s="23" t="str">
        <f aca="false">IF(G680="","",G680/100*INDEX(Alimentos!$F$5:$F$40,MATCH($D680,Alimentos!$B$5:$B$40,0)))</f>
        <v/>
      </c>
      <c r="J680" s="23" t="str">
        <f aca="false">IF(G680="","",G680/100*INDEX(Alimentos!$G$5:$G$40,MATCH($D680,Alimentos!$B$5:$B$40,0)))</f>
        <v/>
      </c>
      <c r="K680" s="23" t="str">
        <f aca="false">IF(G680="","",G680/100*INDEX(Alimentos!$H$5:$H$40,MATCH($D680,Alimentos!$B$5:$B$40,0)))</f>
        <v/>
      </c>
      <c r="L680" s="24" t="str">
        <f aca="false">IF(OR(A680="",B680=""),"",Perfil!$C$13+(A680-1)*7+MATCH(B680,{"Lunes","Martes","Miércoles","Jueves","Viernes","Sábado","Domingo"},0)-1)</f>
        <v/>
      </c>
    </row>
    <row r="681" customFormat="false" ht="15" hidden="false" customHeight="false" outlineLevel="0" collapsed="false">
      <c r="G681" s="23" t="str">
        <f aca="false">IF(OR(D681="",E681=""),"",E681*IFERROR(VLOOKUP(F681,Perfil!$B$19:$C$24,2,0),1))</f>
        <v/>
      </c>
      <c r="H681" s="23" t="str">
        <f aca="false">IF(G681="","",G681/100*INDEX(Alimentos!$E$5:$E$40,MATCH($D681,Alimentos!$B$5:$B$40,0)))</f>
        <v/>
      </c>
      <c r="I681" s="23" t="str">
        <f aca="false">IF(G681="","",G681/100*INDEX(Alimentos!$F$5:$F$40,MATCH($D681,Alimentos!$B$5:$B$40,0)))</f>
        <v/>
      </c>
      <c r="J681" s="23" t="str">
        <f aca="false">IF(G681="","",G681/100*INDEX(Alimentos!$G$5:$G$40,MATCH($D681,Alimentos!$B$5:$B$40,0)))</f>
        <v/>
      </c>
      <c r="K681" s="23" t="str">
        <f aca="false">IF(G681="","",G681/100*INDEX(Alimentos!$H$5:$H$40,MATCH($D681,Alimentos!$B$5:$B$40,0)))</f>
        <v/>
      </c>
      <c r="L681" s="24" t="str">
        <f aca="false">IF(OR(A681="",B681=""),"",Perfil!$C$13+(A681-1)*7+MATCH(B681,{"Lunes","Martes","Miércoles","Jueves","Viernes","Sábado","Domingo"},0)-1)</f>
        <v/>
      </c>
    </row>
    <row r="682" customFormat="false" ht="15" hidden="false" customHeight="false" outlineLevel="0" collapsed="false">
      <c r="G682" s="23" t="str">
        <f aca="false">IF(OR(D682="",E682=""),"",E682*IFERROR(VLOOKUP(F682,Perfil!$B$19:$C$24,2,0),1))</f>
        <v/>
      </c>
      <c r="H682" s="23" t="str">
        <f aca="false">IF(G682="","",G682/100*INDEX(Alimentos!$E$5:$E$40,MATCH($D682,Alimentos!$B$5:$B$40,0)))</f>
        <v/>
      </c>
      <c r="I682" s="23" t="str">
        <f aca="false">IF(G682="","",G682/100*INDEX(Alimentos!$F$5:$F$40,MATCH($D682,Alimentos!$B$5:$B$40,0)))</f>
        <v/>
      </c>
      <c r="J682" s="23" t="str">
        <f aca="false">IF(G682="","",G682/100*INDEX(Alimentos!$G$5:$G$40,MATCH($D682,Alimentos!$B$5:$B$40,0)))</f>
        <v/>
      </c>
      <c r="K682" s="23" t="str">
        <f aca="false">IF(G682="","",G682/100*INDEX(Alimentos!$H$5:$H$40,MATCH($D682,Alimentos!$B$5:$B$40,0)))</f>
        <v/>
      </c>
      <c r="L682" s="24" t="str">
        <f aca="false">IF(OR(A682="",B682=""),"",Perfil!$C$13+(A682-1)*7+MATCH(B682,{"Lunes","Martes","Miércoles","Jueves","Viernes","Sábado","Domingo"},0)-1)</f>
        <v/>
      </c>
    </row>
    <row r="683" customFormat="false" ht="15" hidden="false" customHeight="false" outlineLevel="0" collapsed="false">
      <c r="G683" s="23" t="str">
        <f aca="false">IF(OR(D683="",E683=""),"",E683*IFERROR(VLOOKUP(F683,Perfil!$B$19:$C$24,2,0),1))</f>
        <v/>
      </c>
      <c r="H683" s="23" t="str">
        <f aca="false">IF(G683="","",G683/100*INDEX(Alimentos!$E$5:$E$40,MATCH($D683,Alimentos!$B$5:$B$40,0)))</f>
        <v/>
      </c>
      <c r="I683" s="23" t="str">
        <f aca="false">IF(G683="","",G683/100*INDEX(Alimentos!$F$5:$F$40,MATCH($D683,Alimentos!$B$5:$B$40,0)))</f>
        <v/>
      </c>
      <c r="J683" s="23" t="str">
        <f aca="false">IF(G683="","",G683/100*INDEX(Alimentos!$G$5:$G$40,MATCH($D683,Alimentos!$B$5:$B$40,0)))</f>
        <v/>
      </c>
      <c r="K683" s="23" t="str">
        <f aca="false">IF(G683="","",G683/100*INDEX(Alimentos!$H$5:$H$40,MATCH($D683,Alimentos!$B$5:$B$40,0)))</f>
        <v/>
      </c>
      <c r="L683" s="24" t="str">
        <f aca="false">IF(OR(A683="",B683=""),"",Perfil!$C$13+(A683-1)*7+MATCH(B683,{"Lunes","Martes","Miércoles","Jueves","Viernes","Sábado","Domingo"},0)-1)</f>
        <v/>
      </c>
    </row>
    <row r="684" customFormat="false" ht="15" hidden="false" customHeight="false" outlineLevel="0" collapsed="false">
      <c r="G684" s="23" t="str">
        <f aca="false">IF(OR(D684="",E684=""),"",E684*IFERROR(VLOOKUP(F684,Perfil!$B$19:$C$24,2,0),1))</f>
        <v/>
      </c>
      <c r="H684" s="23" t="str">
        <f aca="false">IF(G684="","",G684/100*INDEX(Alimentos!$E$5:$E$40,MATCH($D684,Alimentos!$B$5:$B$40,0)))</f>
        <v/>
      </c>
      <c r="I684" s="23" t="str">
        <f aca="false">IF(G684="","",G684/100*INDEX(Alimentos!$F$5:$F$40,MATCH($D684,Alimentos!$B$5:$B$40,0)))</f>
        <v/>
      </c>
      <c r="J684" s="23" t="str">
        <f aca="false">IF(G684="","",G684/100*INDEX(Alimentos!$G$5:$G$40,MATCH($D684,Alimentos!$B$5:$B$40,0)))</f>
        <v/>
      </c>
      <c r="K684" s="23" t="str">
        <f aca="false">IF(G684="","",G684/100*INDEX(Alimentos!$H$5:$H$40,MATCH($D684,Alimentos!$B$5:$B$40,0)))</f>
        <v/>
      </c>
      <c r="L684" s="24" t="str">
        <f aca="false">IF(OR(A684="",B684=""),"",Perfil!$C$13+(A684-1)*7+MATCH(B684,{"Lunes","Martes","Miércoles","Jueves","Viernes","Sábado","Domingo"},0)-1)</f>
        <v/>
      </c>
    </row>
    <row r="685" customFormat="false" ht="15" hidden="false" customHeight="false" outlineLevel="0" collapsed="false">
      <c r="G685" s="23" t="str">
        <f aca="false">IF(OR(D685="",E685=""),"",E685*IFERROR(VLOOKUP(F685,Perfil!$B$19:$C$24,2,0),1))</f>
        <v/>
      </c>
      <c r="H685" s="23" t="str">
        <f aca="false">IF(G685="","",G685/100*INDEX(Alimentos!$E$5:$E$40,MATCH($D685,Alimentos!$B$5:$B$40,0)))</f>
        <v/>
      </c>
      <c r="I685" s="23" t="str">
        <f aca="false">IF(G685="","",G685/100*INDEX(Alimentos!$F$5:$F$40,MATCH($D685,Alimentos!$B$5:$B$40,0)))</f>
        <v/>
      </c>
      <c r="J685" s="23" t="str">
        <f aca="false">IF(G685="","",G685/100*INDEX(Alimentos!$G$5:$G$40,MATCH($D685,Alimentos!$B$5:$B$40,0)))</f>
        <v/>
      </c>
      <c r="K685" s="23" t="str">
        <f aca="false">IF(G685="","",G685/100*INDEX(Alimentos!$H$5:$H$40,MATCH($D685,Alimentos!$B$5:$B$40,0)))</f>
        <v/>
      </c>
      <c r="L685" s="24" t="str">
        <f aca="false">IF(OR(A685="",B685=""),"",Perfil!$C$13+(A685-1)*7+MATCH(B685,{"Lunes","Martes","Miércoles","Jueves","Viernes","Sábado","Domingo"},0)-1)</f>
        <v/>
      </c>
    </row>
    <row r="686" customFormat="false" ht="15" hidden="false" customHeight="false" outlineLevel="0" collapsed="false">
      <c r="G686" s="23" t="str">
        <f aca="false">IF(OR(D686="",E686=""),"",E686*IFERROR(VLOOKUP(F686,Perfil!$B$19:$C$24,2,0),1))</f>
        <v/>
      </c>
      <c r="H686" s="23" t="str">
        <f aca="false">IF(G686="","",G686/100*INDEX(Alimentos!$E$5:$E$40,MATCH($D686,Alimentos!$B$5:$B$40,0)))</f>
        <v/>
      </c>
      <c r="I686" s="23" t="str">
        <f aca="false">IF(G686="","",G686/100*INDEX(Alimentos!$F$5:$F$40,MATCH($D686,Alimentos!$B$5:$B$40,0)))</f>
        <v/>
      </c>
      <c r="J686" s="23" t="str">
        <f aca="false">IF(G686="","",G686/100*INDEX(Alimentos!$G$5:$G$40,MATCH($D686,Alimentos!$B$5:$B$40,0)))</f>
        <v/>
      </c>
      <c r="K686" s="23" t="str">
        <f aca="false">IF(G686="","",G686/100*INDEX(Alimentos!$H$5:$H$40,MATCH($D686,Alimentos!$B$5:$B$40,0)))</f>
        <v/>
      </c>
      <c r="L686" s="24" t="str">
        <f aca="false">IF(OR(A686="",B686=""),"",Perfil!$C$13+(A686-1)*7+MATCH(B686,{"Lunes","Martes","Miércoles","Jueves","Viernes","Sábado","Domingo"},0)-1)</f>
        <v/>
      </c>
    </row>
    <row r="687" customFormat="false" ht="15" hidden="false" customHeight="false" outlineLevel="0" collapsed="false">
      <c r="G687" s="23" t="str">
        <f aca="false">IF(OR(D687="",E687=""),"",E687*IFERROR(VLOOKUP(F687,Perfil!$B$19:$C$24,2,0),1))</f>
        <v/>
      </c>
      <c r="H687" s="23" t="str">
        <f aca="false">IF(G687="","",G687/100*INDEX(Alimentos!$E$5:$E$40,MATCH($D687,Alimentos!$B$5:$B$40,0)))</f>
        <v/>
      </c>
      <c r="I687" s="23" t="str">
        <f aca="false">IF(G687="","",G687/100*INDEX(Alimentos!$F$5:$F$40,MATCH($D687,Alimentos!$B$5:$B$40,0)))</f>
        <v/>
      </c>
      <c r="J687" s="23" t="str">
        <f aca="false">IF(G687="","",G687/100*INDEX(Alimentos!$G$5:$G$40,MATCH($D687,Alimentos!$B$5:$B$40,0)))</f>
        <v/>
      </c>
      <c r="K687" s="23" t="str">
        <f aca="false">IF(G687="","",G687/100*INDEX(Alimentos!$H$5:$H$40,MATCH($D687,Alimentos!$B$5:$B$40,0)))</f>
        <v/>
      </c>
      <c r="L687" s="24" t="str">
        <f aca="false">IF(OR(A687="",B687=""),"",Perfil!$C$13+(A687-1)*7+MATCH(B687,{"Lunes","Martes","Miércoles","Jueves","Viernes","Sábado","Domingo"},0)-1)</f>
        <v/>
      </c>
    </row>
    <row r="688" customFormat="false" ht="15" hidden="false" customHeight="false" outlineLevel="0" collapsed="false">
      <c r="G688" s="23" t="str">
        <f aca="false">IF(OR(D688="",E688=""),"",E688*IFERROR(VLOOKUP(F688,Perfil!$B$19:$C$24,2,0),1))</f>
        <v/>
      </c>
      <c r="H688" s="23" t="str">
        <f aca="false">IF(G688="","",G688/100*INDEX(Alimentos!$E$5:$E$40,MATCH($D688,Alimentos!$B$5:$B$40,0)))</f>
        <v/>
      </c>
      <c r="I688" s="23" t="str">
        <f aca="false">IF(G688="","",G688/100*INDEX(Alimentos!$F$5:$F$40,MATCH($D688,Alimentos!$B$5:$B$40,0)))</f>
        <v/>
      </c>
      <c r="J688" s="23" t="str">
        <f aca="false">IF(G688="","",G688/100*INDEX(Alimentos!$G$5:$G$40,MATCH($D688,Alimentos!$B$5:$B$40,0)))</f>
        <v/>
      </c>
      <c r="K688" s="23" t="str">
        <f aca="false">IF(G688="","",G688/100*INDEX(Alimentos!$H$5:$H$40,MATCH($D688,Alimentos!$B$5:$B$40,0)))</f>
        <v/>
      </c>
      <c r="L688" s="24" t="str">
        <f aca="false">IF(OR(A688="",B688=""),"",Perfil!$C$13+(A688-1)*7+MATCH(B688,{"Lunes","Martes","Miércoles","Jueves","Viernes","Sábado","Domingo"},0)-1)</f>
        <v/>
      </c>
    </row>
    <row r="689" customFormat="false" ht="15" hidden="false" customHeight="false" outlineLevel="0" collapsed="false">
      <c r="G689" s="23" t="str">
        <f aca="false">IF(OR(D689="",E689=""),"",E689*IFERROR(VLOOKUP(F689,Perfil!$B$19:$C$24,2,0),1))</f>
        <v/>
      </c>
      <c r="H689" s="23" t="str">
        <f aca="false">IF(G689="","",G689/100*INDEX(Alimentos!$E$5:$E$40,MATCH($D689,Alimentos!$B$5:$B$40,0)))</f>
        <v/>
      </c>
      <c r="I689" s="23" t="str">
        <f aca="false">IF(G689="","",G689/100*INDEX(Alimentos!$F$5:$F$40,MATCH($D689,Alimentos!$B$5:$B$40,0)))</f>
        <v/>
      </c>
      <c r="J689" s="23" t="str">
        <f aca="false">IF(G689="","",G689/100*INDEX(Alimentos!$G$5:$G$40,MATCH($D689,Alimentos!$B$5:$B$40,0)))</f>
        <v/>
      </c>
      <c r="K689" s="23" t="str">
        <f aca="false">IF(G689="","",G689/100*INDEX(Alimentos!$H$5:$H$40,MATCH($D689,Alimentos!$B$5:$B$40,0)))</f>
        <v/>
      </c>
      <c r="L689" s="24" t="str">
        <f aca="false">IF(OR(A689="",B689=""),"",Perfil!$C$13+(A689-1)*7+MATCH(B689,{"Lunes","Martes","Miércoles","Jueves","Viernes","Sábado","Domingo"},0)-1)</f>
        <v/>
      </c>
    </row>
    <row r="690" customFormat="false" ht="15" hidden="false" customHeight="false" outlineLevel="0" collapsed="false">
      <c r="G690" s="23" t="str">
        <f aca="false">IF(OR(D690="",E690=""),"",E690*IFERROR(VLOOKUP(F690,Perfil!$B$19:$C$24,2,0),1))</f>
        <v/>
      </c>
      <c r="H690" s="23" t="str">
        <f aca="false">IF(G690="","",G690/100*INDEX(Alimentos!$E$5:$E$40,MATCH($D690,Alimentos!$B$5:$B$40,0)))</f>
        <v/>
      </c>
      <c r="I690" s="23" t="str">
        <f aca="false">IF(G690="","",G690/100*INDEX(Alimentos!$F$5:$F$40,MATCH($D690,Alimentos!$B$5:$B$40,0)))</f>
        <v/>
      </c>
      <c r="J690" s="23" t="str">
        <f aca="false">IF(G690="","",G690/100*INDEX(Alimentos!$G$5:$G$40,MATCH($D690,Alimentos!$B$5:$B$40,0)))</f>
        <v/>
      </c>
      <c r="K690" s="23" t="str">
        <f aca="false">IF(G690="","",G690/100*INDEX(Alimentos!$H$5:$H$40,MATCH($D690,Alimentos!$B$5:$B$40,0)))</f>
        <v/>
      </c>
      <c r="L690" s="24" t="str">
        <f aca="false">IF(OR(A690="",B690=""),"",Perfil!$C$13+(A690-1)*7+MATCH(B690,{"Lunes","Martes","Miércoles","Jueves","Viernes","Sábado","Domingo"},0)-1)</f>
        <v/>
      </c>
    </row>
    <row r="691" customFormat="false" ht="15" hidden="false" customHeight="false" outlineLevel="0" collapsed="false">
      <c r="G691" s="23" t="str">
        <f aca="false">IF(OR(D691="",E691=""),"",E691*IFERROR(VLOOKUP(F691,Perfil!$B$19:$C$24,2,0),1))</f>
        <v/>
      </c>
      <c r="H691" s="23" t="str">
        <f aca="false">IF(G691="","",G691/100*INDEX(Alimentos!$E$5:$E$40,MATCH($D691,Alimentos!$B$5:$B$40,0)))</f>
        <v/>
      </c>
      <c r="I691" s="23" t="str">
        <f aca="false">IF(G691="","",G691/100*INDEX(Alimentos!$F$5:$F$40,MATCH($D691,Alimentos!$B$5:$B$40,0)))</f>
        <v/>
      </c>
      <c r="J691" s="23" t="str">
        <f aca="false">IF(G691="","",G691/100*INDEX(Alimentos!$G$5:$G$40,MATCH($D691,Alimentos!$B$5:$B$40,0)))</f>
        <v/>
      </c>
      <c r="K691" s="23" t="str">
        <f aca="false">IF(G691="","",G691/100*INDEX(Alimentos!$H$5:$H$40,MATCH($D691,Alimentos!$B$5:$B$40,0)))</f>
        <v/>
      </c>
      <c r="L691" s="24" t="str">
        <f aca="false">IF(OR(A691="",B691=""),"",Perfil!$C$13+(A691-1)*7+MATCH(B691,{"Lunes","Martes","Miércoles","Jueves","Viernes","Sábado","Domingo"},0)-1)</f>
        <v/>
      </c>
    </row>
    <row r="692" customFormat="false" ht="15" hidden="false" customHeight="false" outlineLevel="0" collapsed="false">
      <c r="G692" s="23" t="str">
        <f aca="false">IF(OR(D692="",E692=""),"",E692*IFERROR(VLOOKUP(F692,Perfil!$B$19:$C$24,2,0),1))</f>
        <v/>
      </c>
      <c r="H692" s="23" t="str">
        <f aca="false">IF(G692="","",G692/100*INDEX(Alimentos!$E$5:$E$40,MATCH($D692,Alimentos!$B$5:$B$40,0)))</f>
        <v/>
      </c>
      <c r="I692" s="23" t="str">
        <f aca="false">IF(G692="","",G692/100*INDEX(Alimentos!$F$5:$F$40,MATCH($D692,Alimentos!$B$5:$B$40,0)))</f>
        <v/>
      </c>
      <c r="J692" s="23" t="str">
        <f aca="false">IF(G692="","",G692/100*INDEX(Alimentos!$G$5:$G$40,MATCH($D692,Alimentos!$B$5:$B$40,0)))</f>
        <v/>
      </c>
      <c r="K692" s="23" t="str">
        <f aca="false">IF(G692="","",G692/100*INDEX(Alimentos!$H$5:$H$40,MATCH($D692,Alimentos!$B$5:$B$40,0)))</f>
        <v/>
      </c>
      <c r="L692" s="24" t="str">
        <f aca="false">IF(OR(A692="",B692=""),"",Perfil!$C$13+(A692-1)*7+MATCH(B692,{"Lunes","Martes","Miércoles","Jueves","Viernes","Sábado","Domingo"},0)-1)</f>
        <v/>
      </c>
    </row>
    <row r="693" customFormat="false" ht="15" hidden="false" customHeight="false" outlineLevel="0" collapsed="false">
      <c r="G693" s="23" t="str">
        <f aca="false">IF(OR(D693="",E693=""),"",E693*IFERROR(VLOOKUP(F693,Perfil!$B$19:$C$24,2,0),1))</f>
        <v/>
      </c>
      <c r="H693" s="23" t="str">
        <f aca="false">IF(G693="","",G693/100*INDEX(Alimentos!$E$5:$E$40,MATCH($D693,Alimentos!$B$5:$B$40,0)))</f>
        <v/>
      </c>
      <c r="I693" s="23" t="str">
        <f aca="false">IF(G693="","",G693/100*INDEX(Alimentos!$F$5:$F$40,MATCH($D693,Alimentos!$B$5:$B$40,0)))</f>
        <v/>
      </c>
      <c r="J693" s="23" t="str">
        <f aca="false">IF(G693="","",G693/100*INDEX(Alimentos!$G$5:$G$40,MATCH($D693,Alimentos!$B$5:$B$40,0)))</f>
        <v/>
      </c>
      <c r="K693" s="23" t="str">
        <f aca="false">IF(G693="","",G693/100*INDEX(Alimentos!$H$5:$H$40,MATCH($D693,Alimentos!$B$5:$B$40,0)))</f>
        <v/>
      </c>
      <c r="L693" s="24" t="str">
        <f aca="false">IF(OR(A693="",B693=""),"",Perfil!$C$13+(A693-1)*7+MATCH(B693,{"Lunes","Martes","Miércoles","Jueves","Viernes","Sábado","Domingo"},0)-1)</f>
        <v/>
      </c>
    </row>
    <row r="694" customFormat="false" ht="15" hidden="false" customHeight="false" outlineLevel="0" collapsed="false">
      <c r="G694" s="23" t="str">
        <f aca="false">IF(OR(D694="",E694=""),"",E694*IFERROR(VLOOKUP(F694,Perfil!$B$19:$C$24,2,0),1))</f>
        <v/>
      </c>
      <c r="H694" s="23" t="str">
        <f aca="false">IF(G694="","",G694/100*INDEX(Alimentos!$E$5:$E$40,MATCH($D694,Alimentos!$B$5:$B$40,0)))</f>
        <v/>
      </c>
      <c r="I694" s="23" t="str">
        <f aca="false">IF(G694="","",G694/100*INDEX(Alimentos!$F$5:$F$40,MATCH($D694,Alimentos!$B$5:$B$40,0)))</f>
        <v/>
      </c>
      <c r="J694" s="23" t="str">
        <f aca="false">IF(G694="","",G694/100*INDEX(Alimentos!$G$5:$G$40,MATCH($D694,Alimentos!$B$5:$B$40,0)))</f>
        <v/>
      </c>
      <c r="K694" s="23" t="str">
        <f aca="false">IF(G694="","",G694/100*INDEX(Alimentos!$H$5:$H$40,MATCH($D694,Alimentos!$B$5:$B$40,0)))</f>
        <v/>
      </c>
      <c r="L694" s="24" t="str">
        <f aca="false">IF(OR(A694="",B694=""),"",Perfil!$C$13+(A694-1)*7+MATCH(B694,{"Lunes","Martes","Miércoles","Jueves","Viernes","Sábado","Domingo"},0)-1)</f>
        <v/>
      </c>
    </row>
    <row r="695" customFormat="false" ht="15" hidden="false" customHeight="false" outlineLevel="0" collapsed="false">
      <c r="G695" s="23" t="str">
        <f aca="false">IF(OR(D695="",E695=""),"",E695*IFERROR(VLOOKUP(F695,Perfil!$B$19:$C$24,2,0),1))</f>
        <v/>
      </c>
      <c r="H695" s="23" t="str">
        <f aca="false">IF(G695="","",G695/100*INDEX(Alimentos!$E$5:$E$40,MATCH($D695,Alimentos!$B$5:$B$40,0)))</f>
        <v/>
      </c>
      <c r="I695" s="23" t="str">
        <f aca="false">IF(G695="","",G695/100*INDEX(Alimentos!$F$5:$F$40,MATCH($D695,Alimentos!$B$5:$B$40,0)))</f>
        <v/>
      </c>
      <c r="J695" s="23" t="str">
        <f aca="false">IF(G695="","",G695/100*INDEX(Alimentos!$G$5:$G$40,MATCH($D695,Alimentos!$B$5:$B$40,0)))</f>
        <v/>
      </c>
      <c r="K695" s="23" t="str">
        <f aca="false">IF(G695="","",G695/100*INDEX(Alimentos!$H$5:$H$40,MATCH($D695,Alimentos!$B$5:$B$40,0)))</f>
        <v/>
      </c>
      <c r="L695" s="24" t="str">
        <f aca="false">IF(OR(A695="",B695=""),"",Perfil!$C$13+(A695-1)*7+MATCH(B695,{"Lunes","Martes","Miércoles","Jueves","Viernes","Sábado","Domingo"},0)-1)</f>
        <v/>
      </c>
    </row>
    <row r="696" customFormat="false" ht="15" hidden="false" customHeight="false" outlineLevel="0" collapsed="false">
      <c r="G696" s="23" t="str">
        <f aca="false">IF(OR(D696="",E696=""),"",E696*IFERROR(VLOOKUP(F696,Perfil!$B$19:$C$24,2,0),1))</f>
        <v/>
      </c>
      <c r="H696" s="23" t="str">
        <f aca="false">IF(G696="","",G696/100*INDEX(Alimentos!$E$5:$E$40,MATCH($D696,Alimentos!$B$5:$B$40,0)))</f>
        <v/>
      </c>
      <c r="I696" s="23" t="str">
        <f aca="false">IF(G696="","",G696/100*INDEX(Alimentos!$F$5:$F$40,MATCH($D696,Alimentos!$B$5:$B$40,0)))</f>
        <v/>
      </c>
      <c r="J696" s="23" t="str">
        <f aca="false">IF(G696="","",G696/100*INDEX(Alimentos!$G$5:$G$40,MATCH($D696,Alimentos!$B$5:$B$40,0)))</f>
        <v/>
      </c>
      <c r="K696" s="23" t="str">
        <f aca="false">IF(G696="","",G696/100*INDEX(Alimentos!$H$5:$H$40,MATCH($D696,Alimentos!$B$5:$B$40,0)))</f>
        <v/>
      </c>
      <c r="L696" s="24" t="str">
        <f aca="false">IF(OR(A696="",B696=""),"",Perfil!$C$13+(A696-1)*7+MATCH(B696,{"Lunes","Martes","Miércoles","Jueves","Viernes","Sábado","Domingo"},0)-1)</f>
        <v/>
      </c>
    </row>
    <row r="697" customFormat="false" ht="15" hidden="false" customHeight="false" outlineLevel="0" collapsed="false">
      <c r="G697" s="23" t="str">
        <f aca="false">IF(OR(D697="",E697=""),"",E697*IFERROR(VLOOKUP(F697,Perfil!$B$19:$C$24,2,0),1))</f>
        <v/>
      </c>
      <c r="H697" s="23" t="str">
        <f aca="false">IF(G697="","",G697/100*INDEX(Alimentos!$E$5:$E$40,MATCH($D697,Alimentos!$B$5:$B$40,0)))</f>
        <v/>
      </c>
      <c r="I697" s="23" t="str">
        <f aca="false">IF(G697="","",G697/100*INDEX(Alimentos!$F$5:$F$40,MATCH($D697,Alimentos!$B$5:$B$40,0)))</f>
        <v/>
      </c>
      <c r="J697" s="23" t="str">
        <f aca="false">IF(G697="","",G697/100*INDEX(Alimentos!$G$5:$G$40,MATCH($D697,Alimentos!$B$5:$B$40,0)))</f>
        <v/>
      </c>
      <c r="K697" s="23" t="str">
        <f aca="false">IF(G697="","",G697/100*INDEX(Alimentos!$H$5:$H$40,MATCH($D697,Alimentos!$B$5:$B$40,0)))</f>
        <v/>
      </c>
      <c r="L697" s="24" t="str">
        <f aca="false">IF(OR(A697="",B697=""),"",Perfil!$C$13+(A697-1)*7+MATCH(B697,{"Lunes","Martes","Miércoles","Jueves","Viernes","Sábado","Domingo"},0)-1)</f>
        <v/>
      </c>
    </row>
    <row r="698" customFormat="false" ht="15" hidden="false" customHeight="false" outlineLevel="0" collapsed="false">
      <c r="G698" s="23" t="str">
        <f aca="false">IF(OR(D698="",E698=""),"",E698*IFERROR(VLOOKUP(F698,Perfil!$B$19:$C$24,2,0),1))</f>
        <v/>
      </c>
      <c r="H698" s="23" t="str">
        <f aca="false">IF(G698="","",G698/100*INDEX(Alimentos!$E$5:$E$40,MATCH($D698,Alimentos!$B$5:$B$40,0)))</f>
        <v/>
      </c>
      <c r="I698" s="23" t="str">
        <f aca="false">IF(G698="","",G698/100*INDEX(Alimentos!$F$5:$F$40,MATCH($D698,Alimentos!$B$5:$B$40,0)))</f>
        <v/>
      </c>
      <c r="J698" s="23" t="str">
        <f aca="false">IF(G698="","",G698/100*INDEX(Alimentos!$G$5:$G$40,MATCH($D698,Alimentos!$B$5:$B$40,0)))</f>
        <v/>
      </c>
      <c r="K698" s="23" t="str">
        <f aca="false">IF(G698="","",G698/100*INDEX(Alimentos!$H$5:$H$40,MATCH($D698,Alimentos!$B$5:$B$40,0)))</f>
        <v/>
      </c>
      <c r="L698" s="24" t="str">
        <f aca="false">IF(OR(A698="",B698=""),"",Perfil!$C$13+(A698-1)*7+MATCH(B698,{"Lunes","Martes","Miércoles","Jueves","Viernes","Sábado","Domingo"},0)-1)</f>
        <v/>
      </c>
    </row>
    <row r="699" customFormat="false" ht="15" hidden="false" customHeight="false" outlineLevel="0" collapsed="false">
      <c r="G699" s="23" t="str">
        <f aca="false">IF(OR(D699="",E699=""),"",E699*IFERROR(VLOOKUP(F699,Perfil!$B$19:$C$24,2,0),1))</f>
        <v/>
      </c>
      <c r="H699" s="23" t="str">
        <f aca="false">IF(G699="","",G699/100*INDEX(Alimentos!$E$5:$E$40,MATCH($D699,Alimentos!$B$5:$B$40,0)))</f>
        <v/>
      </c>
      <c r="I699" s="23" t="str">
        <f aca="false">IF(G699="","",G699/100*INDEX(Alimentos!$F$5:$F$40,MATCH($D699,Alimentos!$B$5:$B$40,0)))</f>
        <v/>
      </c>
      <c r="J699" s="23" t="str">
        <f aca="false">IF(G699="","",G699/100*INDEX(Alimentos!$G$5:$G$40,MATCH($D699,Alimentos!$B$5:$B$40,0)))</f>
        <v/>
      </c>
      <c r="K699" s="23" t="str">
        <f aca="false">IF(G699="","",G699/100*INDEX(Alimentos!$H$5:$H$40,MATCH($D699,Alimentos!$B$5:$B$40,0)))</f>
        <v/>
      </c>
      <c r="L699" s="24" t="str">
        <f aca="false">IF(OR(A699="",B699=""),"",Perfil!$C$13+(A699-1)*7+MATCH(B699,{"Lunes","Martes","Miércoles","Jueves","Viernes","Sábado","Domingo"},0)-1)</f>
        <v/>
      </c>
    </row>
    <row r="700" customFormat="false" ht="15" hidden="false" customHeight="false" outlineLevel="0" collapsed="false">
      <c r="G700" s="23" t="str">
        <f aca="false">IF(OR(D700="",E700=""),"",E700*IFERROR(VLOOKUP(F700,Perfil!$B$19:$C$24,2,0),1))</f>
        <v/>
      </c>
      <c r="H700" s="23" t="str">
        <f aca="false">IF(G700="","",G700/100*INDEX(Alimentos!$E$5:$E$40,MATCH($D700,Alimentos!$B$5:$B$40,0)))</f>
        <v/>
      </c>
      <c r="I700" s="23" t="str">
        <f aca="false">IF(G700="","",G700/100*INDEX(Alimentos!$F$5:$F$40,MATCH($D700,Alimentos!$B$5:$B$40,0)))</f>
        <v/>
      </c>
      <c r="J700" s="23" t="str">
        <f aca="false">IF(G700="","",G700/100*INDEX(Alimentos!$G$5:$G$40,MATCH($D700,Alimentos!$B$5:$B$40,0)))</f>
        <v/>
      </c>
      <c r="K700" s="23" t="str">
        <f aca="false">IF(G700="","",G700/100*INDEX(Alimentos!$H$5:$H$40,MATCH($D700,Alimentos!$B$5:$B$40,0)))</f>
        <v/>
      </c>
      <c r="L700" s="24" t="str">
        <f aca="false">IF(OR(A700="",B700=""),"",Perfil!$C$13+(A700-1)*7+MATCH(B700,{"Lunes","Martes","Miércoles","Jueves","Viernes","Sábado","Domingo"},0)-1)</f>
        <v/>
      </c>
    </row>
    <row r="701" customFormat="false" ht="15" hidden="false" customHeight="false" outlineLevel="0" collapsed="false">
      <c r="G701" s="23" t="str">
        <f aca="false">IF(OR(D701="",E701=""),"",E701*IFERROR(VLOOKUP(F701,Perfil!$B$19:$C$24,2,0),1))</f>
        <v/>
      </c>
      <c r="H701" s="23" t="str">
        <f aca="false">IF(G701="","",G701/100*INDEX(Alimentos!$E$5:$E$40,MATCH($D701,Alimentos!$B$5:$B$40,0)))</f>
        <v/>
      </c>
      <c r="I701" s="23" t="str">
        <f aca="false">IF(G701="","",G701/100*INDEX(Alimentos!$F$5:$F$40,MATCH($D701,Alimentos!$B$5:$B$40,0)))</f>
        <v/>
      </c>
      <c r="J701" s="23" t="str">
        <f aca="false">IF(G701="","",G701/100*INDEX(Alimentos!$G$5:$G$40,MATCH($D701,Alimentos!$B$5:$B$40,0)))</f>
        <v/>
      </c>
      <c r="K701" s="23" t="str">
        <f aca="false">IF(G701="","",G701/100*INDEX(Alimentos!$H$5:$H$40,MATCH($D701,Alimentos!$B$5:$B$40,0)))</f>
        <v/>
      </c>
      <c r="L701" s="24" t="str">
        <f aca="false">IF(OR(A701="",B701=""),"",Perfil!$C$13+(A701-1)*7+MATCH(B701,{"Lunes","Martes","Miércoles","Jueves","Viernes","Sábado","Domingo"},0)-1)</f>
        <v/>
      </c>
    </row>
    <row r="702" customFormat="false" ht="15" hidden="false" customHeight="false" outlineLevel="0" collapsed="false">
      <c r="G702" s="23" t="str">
        <f aca="false">IF(OR(D702="",E702=""),"",E702*IFERROR(VLOOKUP(F702,Perfil!$B$19:$C$24,2,0),1))</f>
        <v/>
      </c>
      <c r="H702" s="23" t="str">
        <f aca="false">IF(G702="","",G702/100*INDEX(Alimentos!$E$5:$E$40,MATCH($D702,Alimentos!$B$5:$B$40,0)))</f>
        <v/>
      </c>
      <c r="I702" s="23" t="str">
        <f aca="false">IF(G702="","",G702/100*INDEX(Alimentos!$F$5:$F$40,MATCH($D702,Alimentos!$B$5:$B$40,0)))</f>
        <v/>
      </c>
      <c r="J702" s="23" t="str">
        <f aca="false">IF(G702="","",G702/100*INDEX(Alimentos!$G$5:$G$40,MATCH($D702,Alimentos!$B$5:$B$40,0)))</f>
        <v/>
      </c>
      <c r="K702" s="23" t="str">
        <f aca="false">IF(G702="","",G702/100*INDEX(Alimentos!$H$5:$H$40,MATCH($D702,Alimentos!$B$5:$B$40,0)))</f>
        <v/>
      </c>
      <c r="L702" s="24" t="str">
        <f aca="false">IF(OR(A702="",B702=""),"",Perfil!$C$13+(A702-1)*7+MATCH(B702,{"Lunes","Martes","Miércoles","Jueves","Viernes","Sábado","Domingo"},0)-1)</f>
        <v/>
      </c>
    </row>
    <row r="703" customFormat="false" ht="15" hidden="false" customHeight="false" outlineLevel="0" collapsed="false">
      <c r="G703" s="23" t="str">
        <f aca="false">IF(OR(D703="",E703=""),"",E703*IFERROR(VLOOKUP(F703,Perfil!$B$19:$C$24,2,0),1))</f>
        <v/>
      </c>
      <c r="H703" s="23" t="str">
        <f aca="false">IF(G703="","",G703/100*INDEX(Alimentos!$E$5:$E$40,MATCH($D703,Alimentos!$B$5:$B$40,0)))</f>
        <v/>
      </c>
      <c r="I703" s="23" t="str">
        <f aca="false">IF(G703="","",G703/100*INDEX(Alimentos!$F$5:$F$40,MATCH($D703,Alimentos!$B$5:$B$40,0)))</f>
        <v/>
      </c>
      <c r="J703" s="23" t="str">
        <f aca="false">IF(G703="","",G703/100*INDEX(Alimentos!$G$5:$G$40,MATCH($D703,Alimentos!$B$5:$B$40,0)))</f>
        <v/>
      </c>
      <c r="K703" s="23" t="str">
        <f aca="false">IF(G703="","",G703/100*INDEX(Alimentos!$H$5:$H$40,MATCH($D703,Alimentos!$B$5:$B$40,0)))</f>
        <v/>
      </c>
      <c r="L703" s="24" t="str">
        <f aca="false">IF(OR(A703="",B703=""),"",Perfil!$C$13+(A703-1)*7+MATCH(B703,{"Lunes","Martes","Miércoles","Jueves","Viernes","Sábado","Domingo"},0)-1)</f>
        <v/>
      </c>
    </row>
    <row r="704" customFormat="false" ht="15" hidden="false" customHeight="false" outlineLevel="0" collapsed="false">
      <c r="G704" s="23" t="str">
        <f aca="false">IF(OR(D704="",E704=""),"",E704*IFERROR(VLOOKUP(F704,Perfil!$B$19:$C$24,2,0),1))</f>
        <v/>
      </c>
      <c r="H704" s="23" t="str">
        <f aca="false">IF(G704="","",G704/100*INDEX(Alimentos!$E$5:$E$40,MATCH($D704,Alimentos!$B$5:$B$40,0)))</f>
        <v/>
      </c>
      <c r="I704" s="23" t="str">
        <f aca="false">IF(G704="","",G704/100*INDEX(Alimentos!$F$5:$F$40,MATCH($D704,Alimentos!$B$5:$B$40,0)))</f>
        <v/>
      </c>
      <c r="J704" s="23" t="str">
        <f aca="false">IF(G704="","",G704/100*INDEX(Alimentos!$G$5:$G$40,MATCH($D704,Alimentos!$B$5:$B$40,0)))</f>
        <v/>
      </c>
      <c r="K704" s="23" t="str">
        <f aca="false">IF(G704="","",G704/100*INDEX(Alimentos!$H$5:$H$40,MATCH($D704,Alimentos!$B$5:$B$40,0)))</f>
        <v/>
      </c>
      <c r="L704" s="24" t="str">
        <f aca="false">IF(OR(A704="",B704=""),"",Perfil!$C$13+(A704-1)*7+MATCH(B704,{"Lunes","Martes","Miércoles","Jueves","Viernes","Sábado","Domingo"},0)-1)</f>
        <v/>
      </c>
    </row>
    <row r="705" customFormat="false" ht="15" hidden="false" customHeight="false" outlineLevel="0" collapsed="false">
      <c r="G705" s="23" t="str">
        <f aca="false">IF(OR(D705="",E705=""),"",E705*IFERROR(VLOOKUP(F705,Perfil!$B$19:$C$24,2,0),1))</f>
        <v/>
      </c>
      <c r="H705" s="23" t="str">
        <f aca="false">IF(G705="","",G705/100*INDEX(Alimentos!$E$5:$E$40,MATCH($D705,Alimentos!$B$5:$B$40,0)))</f>
        <v/>
      </c>
      <c r="I705" s="23" t="str">
        <f aca="false">IF(G705="","",G705/100*INDEX(Alimentos!$F$5:$F$40,MATCH($D705,Alimentos!$B$5:$B$40,0)))</f>
        <v/>
      </c>
      <c r="J705" s="23" t="str">
        <f aca="false">IF(G705="","",G705/100*INDEX(Alimentos!$G$5:$G$40,MATCH($D705,Alimentos!$B$5:$B$40,0)))</f>
        <v/>
      </c>
      <c r="K705" s="23" t="str">
        <f aca="false">IF(G705="","",G705/100*INDEX(Alimentos!$H$5:$H$40,MATCH($D705,Alimentos!$B$5:$B$40,0)))</f>
        <v/>
      </c>
      <c r="L705" s="24" t="str">
        <f aca="false">IF(OR(A705="",B705=""),"",Perfil!$C$13+(A705-1)*7+MATCH(B705,{"Lunes","Martes","Miércoles","Jueves","Viernes","Sábado","Domingo"},0)-1)</f>
        <v/>
      </c>
    </row>
    <row r="706" customFormat="false" ht="15" hidden="false" customHeight="false" outlineLevel="0" collapsed="false">
      <c r="G706" s="23" t="str">
        <f aca="false">IF(OR(D706="",E706=""),"",E706*IFERROR(VLOOKUP(F706,Perfil!$B$19:$C$24,2,0),1))</f>
        <v/>
      </c>
      <c r="H706" s="23" t="str">
        <f aca="false">IF(G706="","",G706/100*INDEX(Alimentos!$E$5:$E$40,MATCH($D706,Alimentos!$B$5:$B$40,0)))</f>
        <v/>
      </c>
      <c r="I706" s="23" t="str">
        <f aca="false">IF(G706="","",G706/100*INDEX(Alimentos!$F$5:$F$40,MATCH($D706,Alimentos!$B$5:$B$40,0)))</f>
        <v/>
      </c>
      <c r="J706" s="23" t="str">
        <f aca="false">IF(G706="","",G706/100*INDEX(Alimentos!$G$5:$G$40,MATCH($D706,Alimentos!$B$5:$B$40,0)))</f>
        <v/>
      </c>
      <c r="K706" s="23" t="str">
        <f aca="false">IF(G706="","",G706/100*INDEX(Alimentos!$H$5:$H$40,MATCH($D706,Alimentos!$B$5:$B$40,0)))</f>
        <v/>
      </c>
      <c r="L706" s="24" t="str">
        <f aca="false">IF(OR(A706="",B706=""),"",Perfil!$C$13+(A706-1)*7+MATCH(B706,{"Lunes","Martes","Miércoles","Jueves","Viernes","Sábado","Domingo"},0)-1)</f>
        <v/>
      </c>
    </row>
    <row r="707" customFormat="false" ht="15" hidden="false" customHeight="false" outlineLevel="0" collapsed="false">
      <c r="G707" s="23" t="str">
        <f aca="false">IF(OR(D707="",E707=""),"",E707*IFERROR(VLOOKUP(F707,Perfil!$B$19:$C$24,2,0),1))</f>
        <v/>
      </c>
      <c r="H707" s="23" t="str">
        <f aca="false">IF(G707="","",G707/100*INDEX(Alimentos!$E$5:$E$40,MATCH($D707,Alimentos!$B$5:$B$40,0)))</f>
        <v/>
      </c>
      <c r="I707" s="23" t="str">
        <f aca="false">IF(G707="","",G707/100*INDEX(Alimentos!$F$5:$F$40,MATCH($D707,Alimentos!$B$5:$B$40,0)))</f>
        <v/>
      </c>
      <c r="J707" s="23" t="str">
        <f aca="false">IF(G707="","",G707/100*INDEX(Alimentos!$G$5:$G$40,MATCH($D707,Alimentos!$B$5:$B$40,0)))</f>
        <v/>
      </c>
      <c r="K707" s="23" t="str">
        <f aca="false">IF(G707="","",G707/100*INDEX(Alimentos!$H$5:$H$40,MATCH($D707,Alimentos!$B$5:$B$40,0)))</f>
        <v/>
      </c>
      <c r="L707" s="24" t="str">
        <f aca="false">IF(OR(A707="",B707=""),"",Perfil!$C$13+(A707-1)*7+MATCH(B707,{"Lunes","Martes","Miércoles","Jueves","Viernes","Sábado","Domingo"},0)-1)</f>
        <v/>
      </c>
    </row>
    <row r="708" customFormat="false" ht="15" hidden="false" customHeight="false" outlineLevel="0" collapsed="false">
      <c r="G708" s="23" t="str">
        <f aca="false">IF(OR(D708="",E708=""),"",E708*IFERROR(VLOOKUP(F708,Perfil!$B$19:$C$24,2,0),1))</f>
        <v/>
      </c>
      <c r="H708" s="23" t="str">
        <f aca="false">IF(G708="","",G708/100*INDEX(Alimentos!$E$5:$E$40,MATCH($D708,Alimentos!$B$5:$B$40,0)))</f>
        <v/>
      </c>
      <c r="I708" s="23" t="str">
        <f aca="false">IF(G708="","",G708/100*INDEX(Alimentos!$F$5:$F$40,MATCH($D708,Alimentos!$B$5:$B$40,0)))</f>
        <v/>
      </c>
      <c r="J708" s="23" t="str">
        <f aca="false">IF(G708="","",G708/100*INDEX(Alimentos!$G$5:$G$40,MATCH($D708,Alimentos!$B$5:$B$40,0)))</f>
        <v/>
      </c>
      <c r="K708" s="23" t="str">
        <f aca="false">IF(G708="","",G708/100*INDEX(Alimentos!$H$5:$H$40,MATCH($D708,Alimentos!$B$5:$B$40,0)))</f>
        <v/>
      </c>
      <c r="L708" s="24" t="str">
        <f aca="false">IF(OR(A708="",B708=""),"",Perfil!$C$13+(A708-1)*7+MATCH(B708,{"Lunes","Martes","Miércoles","Jueves","Viernes","Sábado","Domingo"},0)-1)</f>
        <v/>
      </c>
    </row>
    <row r="709" customFormat="false" ht="15" hidden="false" customHeight="false" outlineLevel="0" collapsed="false">
      <c r="G709" s="23" t="str">
        <f aca="false">IF(OR(D709="",E709=""),"",E709*IFERROR(VLOOKUP(F709,Perfil!$B$19:$C$24,2,0),1))</f>
        <v/>
      </c>
      <c r="H709" s="23" t="str">
        <f aca="false">IF(G709="","",G709/100*INDEX(Alimentos!$E$5:$E$40,MATCH($D709,Alimentos!$B$5:$B$40,0)))</f>
        <v/>
      </c>
      <c r="I709" s="23" t="str">
        <f aca="false">IF(G709="","",G709/100*INDEX(Alimentos!$F$5:$F$40,MATCH($D709,Alimentos!$B$5:$B$40,0)))</f>
        <v/>
      </c>
      <c r="J709" s="23" t="str">
        <f aca="false">IF(G709="","",G709/100*INDEX(Alimentos!$G$5:$G$40,MATCH($D709,Alimentos!$B$5:$B$40,0)))</f>
        <v/>
      </c>
      <c r="K709" s="23" t="str">
        <f aca="false">IF(G709="","",G709/100*INDEX(Alimentos!$H$5:$H$40,MATCH($D709,Alimentos!$B$5:$B$40,0)))</f>
        <v/>
      </c>
      <c r="L709" s="24" t="str">
        <f aca="false">IF(OR(A709="",B709=""),"",Perfil!$C$13+(A709-1)*7+MATCH(B709,{"Lunes","Martes","Miércoles","Jueves","Viernes","Sábado","Domingo"},0)-1)</f>
        <v/>
      </c>
    </row>
    <row r="710" customFormat="false" ht="15" hidden="false" customHeight="false" outlineLevel="0" collapsed="false">
      <c r="G710" s="23" t="str">
        <f aca="false">IF(OR(D710="",E710=""),"",E710*IFERROR(VLOOKUP(F710,Perfil!$B$19:$C$24,2,0),1))</f>
        <v/>
      </c>
      <c r="H710" s="23" t="str">
        <f aca="false">IF(G710="","",G710/100*INDEX(Alimentos!$E$5:$E$40,MATCH($D710,Alimentos!$B$5:$B$40,0)))</f>
        <v/>
      </c>
      <c r="I710" s="23" t="str">
        <f aca="false">IF(G710="","",G710/100*INDEX(Alimentos!$F$5:$F$40,MATCH($D710,Alimentos!$B$5:$B$40,0)))</f>
        <v/>
      </c>
      <c r="J710" s="23" t="str">
        <f aca="false">IF(G710="","",G710/100*INDEX(Alimentos!$G$5:$G$40,MATCH($D710,Alimentos!$B$5:$B$40,0)))</f>
        <v/>
      </c>
      <c r="K710" s="23" t="str">
        <f aca="false">IF(G710="","",G710/100*INDEX(Alimentos!$H$5:$H$40,MATCH($D710,Alimentos!$B$5:$B$40,0)))</f>
        <v/>
      </c>
      <c r="L710" s="24" t="str">
        <f aca="false">IF(OR(A710="",B710=""),"",Perfil!$C$13+(A710-1)*7+MATCH(B710,{"Lunes","Martes","Miércoles","Jueves","Viernes","Sábado","Domingo"},0)-1)</f>
        <v/>
      </c>
    </row>
    <row r="711" customFormat="false" ht="15" hidden="false" customHeight="false" outlineLevel="0" collapsed="false">
      <c r="G711" s="23" t="str">
        <f aca="false">IF(OR(D711="",E711=""),"",E711*IFERROR(VLOOKUP(F711,Perfil!$B$19:$C$24,2,0),1))</f>
        <v/>
      </c>
      <c r="H711" s="23" t="str">
        <f aca="false">IF(G711="","",G711/100*INDEX(Alimentos!$E$5:$E$40,MATCH($D711,Alimentos!$B$5:$B$40,0)))</f>
        <v/>
      </c>
      <c r="I711" s="23" t="str">
        <f aca="false">IF(G711="","",G711/100*INDEX(Alimentos!$F$5:$F$40,MATCH($D711,Alimentos!$B$5:$B$40,0)))</f>
        <v/>
      </c>
      <c r="J711" s="23" t="str">
        <f aca="false">IF(G711="","",G711/100*INDEX(Alimentos!$G$5:$G$40,MATCH($D711,Alimentos!$B$5:$B$40,0)))</f>
        <v/>
      </c>
      <c r="K711" s="23" t="str">
        <f aca="false">IF(G711="","",G711/100*INDEX(Alimentos!$H$5:$H$40,MATCH($D711,Alimentos!$B$5:$B$40,0)))</f>
        <v/>
      </c>
      <c r="L711" s="24" t="str">
        <f aca="false">IF(OR(A711="",B711=""),"",Perfil!$C$13+(A711-1)*7+MATCH(B711,{"Lunes","Martes","Miércoles","Jueves","Viernes","Sábado","Domingo"},0)-1)</f>
        <v/>
      </c>
    </row>
    <row r="712" customFormat="false" ht="15" hidden="false" customHeight="false" outlineLevel="0" collapsed="false">
      <c r="G712" s="23" t="str">
        <f aca="false">IF(OR(D712="",E712=""),"",E712*IFERROR(VLOOKUP(F712,Perfil!$B$19:$C$24,2,0),1))</f>
        <v/>
      </c>
      <c r="H712" s="23" t="str">
        <f aca="false">IF(G712="","",G712/100*INDEX(Alimentos!$E$5:$E$40,MATCH($D712,Alimentos!$B$5:$B$40,0)))</f>
        <v/>
      </c>
      <c r="I712" s="23" t="str">
        <f aca="false">IF(G712="","",G712/100*INDEX(Alimentos!$F$5:$F$40,MATCH($D712,Alimentos!$B$5:$B$40,0)))</f>
        <v/>
      </c>
      <c r="J712" s="23" t="str">
        <f aca="false">IF(G712="","",G712/100*INDEX(Alimentos!$G$5:$G$40,MATCH($D712,Alimentos!$B$5:$B$40,0)))</f>
        <v/>
      </c>
      <c r="K712" s="23" t="str">
        <f aca="false">IF(G712="","",G712/100*INDEX(Alimentos!$H$5:$H$40,MATCH($D712,Alimentos!$B$5:$B$40,0)))</f>
        <v/>
      </c>
      <c r="L712" s="24" t="str">
        <f aca="false">IF(OR(A712="",B712=""),"",Perfil!$C$13+(A712-1)*7+MATCH(B712,{"Lunes","Martes","Miércoles","Jueves","Viernes","Sábado","Domingo"},0)-1)</f>
        <v/>
      </c>
    </row>
    <row r="713" customFormat="false" ht="15" hidden="false" customHeight="false" outlineLevel="0" collapsed="false">
      <c r="G713" s="23" t="str">
        <f aca="false">IF(OR(D713="",E713=""),"",E713*IFERROR(VLOOKUP(F713,Perfil!$B$19:$C$24,2,0),1))</f>
        <v/>
      </c>
      <c r="H713" s="23" t="str">
        <f aca="false">IF(G713="","",G713/100*INDEX(Alimentos!$E$5:$E$40,MATCH($D713,Alimentos!$B$5:$B$40,0)))</f>
        <v/>
      </c>
      <c r="I713" s="23" t="str">
        <f aca="false">IF(G713="","",G713/100*INDEX(Alimentos!$F$5:$F$40,MATCH($D713,Alimentos!$B$5:$B$40,0)))</f>
        <v/>
      </c>
      <c r="J713" s="23" t="str">
        <f aca="false">IF(G713="","",G713/100*INDEX(Alimentos!$G$5:$G$40,MATCH($D713,Alimentos!$B$5:$B$40,0)))</f>
        <v/>
      </c>
      <c r="K713" s="23" t="str">
        <f aca="false">IF(G713="","",G713/100*INDEX(Alimentos!$H$5:$H$40,MATCH($D713,Alimentos!$B$5:$B$40,0)))</f>
        <v/>
      </c>
      <c r="L713" s="24" t="str">
        <f aca="false">IF(OR(A713="",B713=""),"",Perfil!$C$13+(A713-1)*7+MATCH(B713,{"Lunes","Martes","Miércoles","Jueves","Viernes","Sábado","Domingo"},0)-1)</f>
        <v/>
      </c>
    </row>
    <row r="714" customFormat="false" ht="15" hidden="false" customHeight="false" outlineLevel="0" collapsed="false">
      <c r="G714" s="23" t="str">
        <f aca="false">IF(OR(D714="",E714=""),"",E714*IFERROR(VLOOKUP(F714,Perfil!$B$19:$C$24,2,0),1))</f>
        <v/>
      </c>
      <c r="H714" s="23" t="str">
        <f aca="false">IF(G714="","",G714/100*INDEX(Alimentos!$E$5:$E$40,MATCH($D714,Alimentos!$B$5:$B$40,0)))</f>
        <v/>
      </c>
      <c r="I714" s="23" t="str">
        <f aca="false">IF(G714="","",G714/100*INDEX(Alimentos!$F$5:$F$40,MATCH($D714,Alimentos!$B$5:$B$40,0)))</f>
        <v/>
      </c>
      <c r="J714" s="23" t="str">
        <f aca="false">IF(G714="","",G714/100*INDEX(Alimentos!$G$5:$G$40,MATCH($D714,Alimentos!$B$5:$B$40,0)))</f>
        <v/>
      </c>
      <c r="K714" s="23" t="str">
        <f aca="false">IF(G714="","",G714/100*INDEX(Alimentos!$H$5:$H$40,MATCH($D714,Alimentos!$B$5:$B$40,0)))</f>
        <v/>
      </c>
      <c r="L714" s="24" t="str">
        <f aca="false">IF(OR(A714="",B714=""),"",Perfil!$C$13+(A714-1)*7+MATCH(B714,{"Lunes","Martes","Miércoles","Jueves","Viernes","Sábado","Domingo"},0)-1)</f>
        <v/>
      </c>
    </row>
    <row r="715" customFormat="false" ht="15" hidden="false" customHeight="false" outlineLevel="0" collapsed="false">
      <c r="G715" s="23" t="str">
        <f aca="false">IF(OR(D715="",E715=""),"",E715*IFERROR(VLOOKUP(F715,Perfil!$B$19:$C$24,2,0),1))</f>
        <v/>
      </c>
      <c r="H715" s="23" t="str">
        <f aca="false">IF(G715="","",G715/100*INDEX(Alimentos!$E$5:$E$40,MATCH($D715,Alimentos!$B$5:$B$40,0)))</f>
        <v/>
      </c>
      <c r="I715" s="23" t="str">
        <f aca="false">IF(G715="","",G715/100*INDEX(Alimentos!$F$5:$F$40,MATCH($D715,Alimentos!$B$5:$B$40,0)))</f>
        <v/>
      </c>
      <c r="J715" s="23" t="str">
        <f aca="false">IF(G715="","",G715/100*INDEX(Alimentos!$G$5:$G$40,MATCH($D715,Alimentos!$B$5:$B$40,0)))</f>
        <v/>
      </c>
      <c r="K715" s="23" t="str">
        <f aca="false">IF(G715="","",G715/100*INDEX(Alimentos!$H$5:$H$40,MATCH($D715,Alimentos!$B$5:$B$40,0)))</f>
        <v/>
      </c>
      <c r="L715" s="24" t="str">
        <f aca="false">IF(OR(A715="",B715=""),"",Perfil!$C$13+(A715-1)*7+MATCH(B715,{"Lunes","Martes","Miércoles","Jueves","Viernes","Sábado","Domingo"},0)-1)</f>
        <v/>
      </c>
    </row>
    <row r="716" customFormat="false" ht="15" hidden="false" customHeight="false" outlineLevel="0" collapsed="false">
      <c r="G716" s="23" t="str">
        <f aca="false">IF(OR(D716="",E716=""),"",E716*IFERROR(VLOOKUP(F716,Perfil!$B$19:$C$24,2,0),1))</f>
        <v/>
      </c>
      <c r="H716" s="23" t="str">
        <f aca="false">IF(G716="","",G716/100*INDEX(Alimentos!$E$5:$E$40,MATCH($D716,Alimentos!$B$5:$B$40,0)))</f>
        <v/>
      </c>
      <c r="I716" s="23" t="str">
        <f aca="false">IF(G716="","",G716/100*INDEX(Alimentos!$F$5:$F$40,MATCH($D716,Alimentos!$B$5:$B$40,0)))</f>
        <v/>
      </c>
      <c r="J716" s="23" t="str">
        <f aca="false">IF(G716="","",G716/100*INDEX(Alimentos!$G$5:$G$40,MATCH($D716,Alimentos!$B$5:$B$40,0)))</f>
        <v/>
      </c>
      <c r="K716" s="23" t="str">
        <f aca="false">IF(G716="","",G716/100*INDEX(Alimentos!$H$5:$H$40,MATCH($D716,Alimentos!$B$5:$B$40,0)))</f>
        <v/>
      </c>
      <c r="L716" s="24" t="str">
        <f aca="false">IF(OR(A716="",B716=""),"",Perfil!$C$13+(A716-1)*7+MATCH(B716,{"Lunes","Martes","Miércoles","Jueves","Viernes","Sábado","Domingo"},0)-1)</f>
        <v/>
      </c>
    </row>
    <row r="717" customFormat="false" ht="15" hidden="false" customHeight="false" outlineLevel="0" collapsed="false">
      <c r="G717" s="23" t="str">
        <f aca="false">IF(OR(D717="",E717=""),"",E717*IFERROR(VLOOKUP(F717,Perfil!$B$19:$C$24,2,0),1))</f>
        <v/>
      </c>
      <c r="H717" s="23" t="str">
        <f aca="false">IF(G717="","",G717/100*INDEX(Alimentos!$E$5:$E$40,MATCH($D717,Alimentos!$B$5:$B$40,0)))</f>
        <v/>
      </c>
      <c r="I717" s="23" t="str">
        <f aca="false">IF(G717="","",G717/100*INDEX(Alimentos!$F$5:$F$40,MATCH($D717,Alimentos!$B$5:$B$40,0)))</f>
        <v/>
      </c>
      <c r="J717" s="23" t="str">
        <f aca="false">IF(G717="","",G717/100*INDEX(Alimentos!$G$5:$G$40,MATCH($D717,Alimentos!$B$5:$B$40,0)))</f>
        <v/>
      </c>
      <c r="K717" s="23" t="str">
        <f aca="false">IF(G717="","",G717/100*INDEX(Alimentos!$H$5:$H$40,MATCH($D717,Alimentos!$B$5:$B$40,0)))</f>
        <v/>
      </c>
      <c r="L717" s="24" t="str">
        <f aca="false">IF(OR(A717="",B717=""),"",Perfil!$C$13+(A717-1)*7+MATCH(B717,{"Lunes","Martes","Miércoles","Jueves","Viernes","Sábado","Domingo"},0)-1)</f>
        <v/>
      </c>
    </row>
    <row r="718" customFormat="false" ht="15" hidden="false" customHeight="false" outlineLevel="0" collapsed="false">
      <c r="G718" s="23" t="str">
        <f aca="false">IF(OR(D718="",E718=""),"",E718*IFERROR(VLOOKUP(F718,Perfil!$B$19:$C$24,2,0),1))</f>
        <v/>
      </c>
      <c r="H718" s="23" t="str">
        <f aca="false">IF(G718="","",G718/100*INDEX(Alimentos!$E$5:$E$40,MATCH($D718,Alimentos!$B$5:$B$40,0)))</f>
        <v/>
      </c>
      <c r="I718" s="23" t="str">
        <f aca="false">IF(G718="","",G718/100*INDEX(Alimentos!$F$5:$F$40,MATCH($D718,Alimentos!$B$5:$B$40,0)))</f>
        <v/>
      </c>
      <c r="J718" s="23" t="str">
        <f aca="false">IF(G718="","",G718/100*INDEX(Alimentos!$G$5:$G$40,MATCH($D718,Alimentos!$B$5:$B$40,0)))</f>
        <v/>
      </c>
      <c r="K718" s="23" t="str">
        <f aca="false">IF(G718="","",G718/100*INDEX(Alimentos!$H$5:$H$40,MATCH($D718,Alimentos!$B$5:$B$40,0)))</f>
        <v/>
      </c>
      <c r="L718" s="24" t="str">
        <f aca="false">IF(OR(A718="",B718=""),"",Perfil!$C$13+(A718-1)*7+MATCH(B718,{"Lunes","Martes","Miércoles","Jueves","Viernes","Sábado","Domingo"},0)-1)</f>
        <v/>
      </c>
    </row>
    <row r="719" customFormat="false" ht="15" hidden="false" customHeight="false" outlineLevel="0" collapsed="false">
      <c r="G719" s="23" t="str">
        <f aca="false">IF(OR(D719="",E719=""),"",E719*IFERROR(VLOOKUP(F719,Perfil!$B$19:$C$24,2,0),1))</f>
        <v/>
      </c>
      <c r="H719" s="23" t="str">
        <f aca="false">IF(G719="","",G719/100*INDEX(Alimentos!$E$5:$E$40,MATCH($D719,Alimentos!$B$5:$B$40,0)))</f>
        <v/>
      </c>
      <c r="I719" s="23" t="str">
        <f aca="false">IF(G719="","",G719/100*INDEX(Alimentos!$F$5:$F$40,MATCH($D719,Alimentos!$B$5:$B$40,0)))</f>
        <v/>
      </c>
      <c r="J719" s="23" t="str">
        <f aca="false">IF(G719="","",G719/100*INDEX(Alimentos!$G$5:$G$40,MATCH($D719,Alimentos!$B$5:$B$40,0)))</f>
        <v/>
      </c>
      <c r="K719" s="23" t="str">
        <f aca="false">IF(G719="","",G719/100*INDEX(Alimentos!$H$5:$H$40,MATCH($D719,Alimentos!$B$5:$B$40,0)))</f>
        <v/>
      </c>
      <c r="L719" s="24" t="str">
        <f aca="false">IF(OR(A719="",B719=""),"",Perfil!$C$13+(A719-1)*7+MATCH(B719,{"Lunes","Martes","Miércoles","Jueves","Viernes","Sábado","Domingo"},0)-1)</f>
        <v/>
      </c>
    </row>
    <row r="720" customFormat="false" ht="15" hidden="false" customHeight="false" outlineLevel="0" collapsed="false">
      <c r="G720" s="23" t="str">
        <f aca="false">IF(OR(D720="",E720=""),"",E720*IFERROR(VLOOKUP(F720,Perfil!$B$19:$C$24,2,0),1))</f>
        <v/>
      </c>
      <c r="H720" s="23" t="str">
        <f aca="false">IF(G720="","",G720/100*INDEX(Alimentos!$E$5:$E$40,MATCH($D720,Alimentos!$B$5:$B$40,0)))</f>
        <v/>
      </c>
      <c r="I720" s="23" t="str">
        <f aca="false">IF(G720="","",G720/100*INDEX(Alimentos!$F$5:$F$40,MATCH($D720,Alimentos!$B$5:$B$40,0)))</f>
        <v/>
      </c>
      <c r="J720" s="23" t="str">
        <f aca="false">IF(G720="","",G720/100*INDEX(Alimentos!$G$5:$G$40,MATCH($D720,Alimentos!$B$5:$B$40,0)))</f>
        <v/>
      </c>
      <c r="K720" s="23" t="str">
        <f aca="false">IF(G720="","",G720/100*INDEX(Alimentos!$H$5:$H$40,MATCH($D720,Alimentos!$B$5:$B$40,0)))</f>
        <v/>
      </c>
      <c r="L720" s="24" t="str">
        <f aca="false">IF(OR(A720="",B720=""),"",Perfil!$C$13+(A720-1)*7+MATCH(B720,{"Lunes","Martes","Miércoles","Jueves","Viernes","Sábado","Domingo"},0)-1)</f>
        <v/>
      </c>
    </row>
    <row r="721" customFormat="false" ht="15" hidden="false" customHeight="false" outlineLevel="0" collapsed="false">
      <c r="G721" s="23" t="str">
        <f aca="false">IF(OR(D721="",E721=""),"",E721*IFERROR(VLOOKUP(F721,Perfil!$B$19:$C$24,2,0),1))</f>
        <v/>
      </c>
      <c r="H721" s="23" t="str">
        <f aca="false">IF(G721="","",G721/100*INDEX(Alimentos!$E$5:$E$40,MATCH($D721,Alimentos!$B$5:$B$40,0)))</f>
        <v/>
      </c>
      <c r="I721" s="23" t="str">
        <f aca="false">IF(G721="","",G721/100*INDEX(Alimentos!$F$5:$F$40,MATCH($D721,Alimentos!$B$5:$B$40,0)))</f>
        <v/>
      </c>
      <c r="J721" s="23" t="str">
        <f aca="false">IF(G721="","",G721/100*INDEX(Alimentos!$G$5:$G$40,MATCH($D721,Alimentos!$B$5:$B$40,0)))</f>
        <v/>
      </c>
      <c r="K721" s="23" t="str">
        <f aca="false">IF(G721="","",G721/100*INDEX(Alimentos!$H$5:$H$40,MATCH($D721,Alimentos!$B$5:$B$40,0)))</f>
        <v/>
      </c>
      <c r="L721" s="24" t="str">
        <f aca="false">IF(OR(A721="",B721=""),"",Perfil!$C$13+(A721-1)*7+MATCH(B721,{"Lunes","Martes","Miércoles","Jueves","Viernes","Sábado","Domingo"},0)-1)</f>
        <v/>
      </c>
    </row>
    <row r="722" customFormat="false" ht="15" hidden="false" customHeight="false" outlineLevel="0" collapsed="false">
      <c r="G722" s="23" t="str">
        <f aca="false">IF(OR(D722="",E722=""),"",E722*IFERROR(VLOOKUP(F722,Perfil!$B$19:$C$24,2,0),1))</f>
        <v/>
      </c>
      <c r="H722" s="23" t="str">
        <f aca="false">IF(G722="","",G722/100*INDEX(Alimentos!$E$5:$E$40,MATCH($D722,Alimentos!$B$5:$B$40,0)))</f>
        <v/>
      </c>
      <c r="I722" s="23" t="str">
        <f aca="false">IF(G722="","",G722/100*INDEX(Alimentos!$F$5:$F$40,MATCH($D722,Alimentos!$B$5:$B$40,0)))</f>
        <v/>
      </c>
      <c r="J722" s="23" t="str">
        <f aca="false">IF(G722="","",G722/100*INDEX(Alimentos!$G$5:$G$40,MATCH($D722,Alimentos!$B$5:$B$40,0)))</f>
        <v/>
      </c>
      <c r="K722" s="23" t="str">
        <f aca="false">IF(G722="","",G722/100*INDEX(Alimentos!$H$5:$H$40,MATCH($D722,Alimentos!$B$5:$B$40,0)))</f>
        <v/>
      </c>
      <c r="L722" s="24" t="str">
        <f aca="false">IF(OR(A722="",B722=""),"",Perfil!$C$13+(A722-1)*7+MATCH(B722,{"Lunes","Martes","Miércoles","Jueves","Viernes","Sábado","Domingo"},0)-1)</f>
        <v/>
      </c>
    </row>
    <row r="723" customFormat="false" ht="15" hidden="false" customHeight="false" outlineLevel="0" collapsed="false">
      <c r="G723" s="23" t="str">
        <f aca="false">IF(OR(D723="",E723=""),"",E723*IFERROR(VLOOKUP(F723,Perfil!$B$19:$C$24,2,0),1))</f>
        <v/>
      </c>
      <c r="H723" s="23" t="str">
        <f aca="false">IF(G723="","",G723/100*INDEX(Alimentos!$E$5:$E$40,MATCH($D723,Alimentos!$B$5:$B$40,0)))</f>
        <v/>
      </c>
      <c r="I723" s="23" t="str">
        <f aca="false">IF(G723="","",G723/100*INDEX(Alimentos!$F$5:$F$40,MATCH($D723,Alimentos!$B$5:$B$40,0)))</f>
        <v/>
      </c>
      <c r="J723" s="23" t="str">
        <f aca="false">IF(G723="","",G723/100*INDEX(Alimentos!$G$5:$G$40,MATCH($D723,Alimentos!$B$5:$B$40,0)))</f>
        <v/>
      </c>
      <c r="K723" s="23" t="str">
        <f aca="false">IF(G723="","",G723/100*INDEX(Alimentos!$H$5:$H$40,MATCH($D723,Alimentos!$B$5:$B$40,0)))</f>
        <v/>
      </c>
      <c r="L723" s="24" t="str">
        <f aca="false">IF(OR(A723="",B723=""),"",Perfil!$C$13+(A723-1)*7+MATCH(B723,{"Lunes","Martes","Miércoles","Jueves","Viernes","Sábado","Domingo"},0)-1)</f>
        <v/>
      </c>
    </row>
    <row r="724" customFormat="false" ht="15" hidden="false" customHeight="false" outlineLevel="0" collapsed="false">
      <c r="G724" s="23" t="str">
        <f aca="false">IF(OR(D724="",E724=""),"",E724*IFERROR(VLOOKUP(F724,Perfil!$B$19:$C$24,2,0),1))</f>
        <v/>
      </c>
      <c r="H724" s="23" t="str">
        <f aca="false">IF(G724="","",G724/100*INDEX(Alimentos!$E$5:$E$40,MATCH($D724,Alimentos!$B$5:$B$40,0)))</f>
        <v/>
      </c>
      <c r="I724" s="23" t="str">
        <f aca="false">IF(G724="","",G724/100*INDEX(Alimentos!$F$5:$F$40,MATCH($D724,Alimentos!$B$5:$B$40,0)))</f>
        <v/>
      </c>
      <c r="J724" s="23" t="str">
        <f aca="false">IF(G724="","",G724/100*INDEX(Alimentos!$G$5:$G$40,MATCH($D724,Alimentos!$B$5:$B$40,0)))</f>
        <v/>
      </c>
      <c r="K724" s="23" t="str">
        <f aca="false">IF(G724="","",G724/100*INDEX(Alimentos!$H$5:$H$40,MATCH($D724,Alimentos!$B$5:$B$40,0)))</f>
        <v/>
      </c>
      <c r="L724" s="24" t="str">
        <f aca="false">IF(OR(A724="",B724=""),"",Perfil!$C$13+(A724-1)*7+MATCH(B724,{"Lunes","Martes","Miércoles","Jueves","Viernes","Sábado","Domingo"},0)-1)</f>
        <v/>
      </c>
    </row>
    <row r="725" customFormat="false" ht="15" hidden="false" customHeight="false" outlineLevel="0" collapsed="false">
      <c r="G725" s="23" t="str">
        <f aca="false">IF(OR(D725="",E725=""),"",E725*IFERROR(VLOOKUP(F725,Perfil!$B$19:$C$24,2,0),1))</f>
        <v/>
      </c>
      <c r="H725" s="23" t="str">
        <f aca="false">IF(G725="","",G725/100*INDEX(Alimentos!$E$5:$E$40,MATCH($D725,Alimentos!$B$5:$B$40,0)))</f>
        <v/>
      </c>
      <c r="I725" s="23" t="str">
        <f aca="false">IF(G725="","",G725/100*INDEX(Alimentos!$F$5:$F$40,MATCH($D725,Alimentos!$B$5:$B$40,0)))</f>
        <v/>
      </c>
      <c r="J725" s="23" t="str">
        <f aca="false">IF(G725="","",G725/100*INDEX(Alimentos!$G$5:$G$40,MATCH($D725,Alimentos!$B$5:$B$40,0)))</f>
        <v/>
      </c>
      <c r="K725" s="23" t="str">
        <f aca="false">IF(G725="","",G725/100*INDEX(Alimentos!$H$5:$H$40,MATCH($D725,Alimentos!$B$5:$B$40,0)))</f>
        <v/>
      </c>
      <c r="L725" s="24" t="str">
        <f aca="false">IF(OR(A725="",B725=""),"",Perfil!$C$13+(A725-1)*7+MATCH(B725,{"Lunes","Martes","Miércoles","Jueves","Viernes","Sábado","Domingo"},0)-1)</f>
        <v/>
      </c>
    </row>
    <row r="726" customFormat="false" ht="15" hidden="false" customHeight="false" outlineLevel="0" collapsed="false">
      <c r="G726" s="23" t="str">
        <f aca="false">IF(OR(D726="",E726=""),"",E726*IFERROR(VLOOKUP(F726,Perfil!$B$19:$C$24,2,0),1))</f>
        <v/>
      </c>
      <c r="H726" s="23" t="str">
        <f aca="false">IF(G726="","",G726/100*INDEX(Alimentos!$E$5:$E$40,MATCH($D726,Alimentos!$B$5:$B$40,0)))</f>
        <v/>
      </c>
      <c r="I726" s="23" t="str">
        <f aca="false">IF(G726="","",G726/100*INDEX(Alimentos!$F$5:$F$40,MATCH($D726,Alimentos!$B$5:$B$40,0)))</f>
        <v/>
      </c>
      <c r="J726" s="23" t="str">
        <f aca="false">IF(G726="","",G726/100*INDEX(Alimentos!$G$5:$G$40,MATCH($D726,Alimentos!$B$5:$B$40,0)))</f>
        <v/>
      </c>
      <c r="K726" s="23" t="str">
        <f aca="false">IF(G726="","",G726/100*INDEX(Alimentos!$H$5:$H$40,MATCH($D726,Alimentos!$B$5:$B$40,0)))</f>
        <v/>
      </c>
      <c r="L726" s="24" t="str">
        <f aca="false">IF(OR(A726="",B726=""),"",Perfil!$C$13+(A726-1)*7+MATCH(B726,{"Lunes","Martes","Miércoles","Jueves","Viernes","Sábado","Domingo"},0)-1)</f>
        <v/>
      </c>
    </row>
    <row r="727" customFormat="false" ht="15" hidden="false" customHeight="false" outlineLevel="0" collapsed="false">
      <c r="G727" s="23" t="str">
        <f aca="false">IF(OR(D727="",E727=""),"",E727*IFERROR(VLOOKUP(F727,Perfil!$B$19:$C$24,2,0),1))</f>
        <v/>
      </c>
      <c r="H727" s="23" t="str">
        <f aca="false">IF(G727="","",G727/100*INDEX(Alimentos!$E$5:$E$40,MATCH($D727,Alimentos!$B$5:$B$40,0)))</f>
        <v/>
      </c>
      <c r="I727" s="23" t="str">
        <f aca="false">IF(G727="","",G727/100*INDEX(Alimentos!$F$5:$F$40,MATCH($D727,Alimentos!$B$5:$B$40,0)))</f>
        <v/>
      </c>
      <c r="J727" s="23" t="str">
        <f aca="false">IF(G727="","",G727/100*INDEX(Alimentos!$G$5:$G$40,MATCH($D727,Alimentos!$B$5:$B$40,0)))</f>
        <v/>
      </c>
      <c r="K727" s="23" t="str">
        <f aca="false">IF(G727="","",G727/100*INDEX(Alimentos!$H$5:$H$40,MATCH($D727,Alimentos!$B$5:$B$40,0)))</f>
        <v/>
      </c>
      <c r="L727" s="24" t="str">
        <f aca="false">IF(OR(A727="",B727=""),"",Perfil!$C$13+(A727-1)*7+MATCH(B727,{"Lunes","Martes","Miércoles","Jueves","Viernes","Sábado","Domingo"},0)-1)</f>
        <v/>
      </c>
    </row>
    <row r="728" customFormat="false" ht="15" hidden="false" customHeight="false" outlineLevel="0" collapsed="false">
      <c r="G728" s="23" t="str">
        <f aca="false">IF(OR(D728="",E728=""),"",E728*IFERROR(VLOOKUP(F728,Perfil!$B$19:$C$24,2,0),1))</f>
        <v/>
      </c>
      <c r="H728" s="23" t="str">
        <f aca="false">IF(G728="","",G728/100*INDEX(Alimentos!$E$5:$E$40,MATCH($D728,Alimentos!$B$5:$B$40,0)))</f>
        <v/>
      </c>
      <c r="I728" s="23" t="str">
        <f aca="false">IF(G728="","",G728/100*INDEX(Alimentos!$F$5:$F$40,MATCH($D728,Alimentos!$B$5:$B$40,0)))</f>
        <v/>
      </c>
      <c r="J728" s="23" t="str">
        <f aca="false">IF(G728="","",G728/100*INDEX(Alimentos!$G$5:$G$40,MATCH($D728,Alimentos!$B$5:$B$40,0)))</f>
        <v/>
      </c>
      <c r="K728" s="23" t="str">
        <f aca="false">IF(G728="","",G728/100*INDEX(Alimentos!$H$5:$H$40,MATCH($D728,Alimentos!$B$5:$B$40,0)))</f>
        <v/>
      </c>
      <c r="L728" s="24" t="str">
        <f aca="false">IF(OR(A728="",B728=""),"",Perfil!$C$13+(A728-1)*7+MATCH(B728,{"Lunes","Martes","Miércoles","Jueves","Viernes","Sábado","Domingo"},0)-1)</f>
        <v/>
      </c>
    </row>
    <row r="729" customFormat="false" ht="15" hidden="false" customHeight="false" outlineLevel="0" collapsed="false">
      <c r="G729" s="23" t="str">
        <f aca="false">IF(OR(D729="",E729=""),"",E729*IFERROR(VLOOKUP(F729,Perfil!$B$19:$C$24,2,0),1))</f>
        <v/>
      </c>
      <c r="H729" s="23" t="str">
        <f aca="false">IF(G729="","",G729/100*INDEX(Alimentos!$E$5:$E$40,MATCH($D729,Alimentos!$B$5:$B$40,0)))</f>
        <v/>
      </c>
      <c r="I729" s="23" t="str">
        <f aca="false">IF(G729="","",G729/100*INDEX(Alimentos!$F$5:$F$40,MATCH($D729,Alimentos!$B$5:$B$40,0)))</f>
        <v/>
      </c>
      <c r="J729" s="23" t="str">
        <f aca="false">IF(G729="","",G729/100*INDEX(Alimentos!$G$5:$G$40,MATCH($D729,Alimentos!$B$5:$B$40,0)))</f>
        <v/>
      </c>
      <c r="K729" s="23" t="str">
        <f aca="false">IF(G729="","",G729/100*INDEX(Alimentos!$H$5:$H$40,MATCH($D729,Alimentos!$B$5:$B$40,0)))</f>
        <v/>
      </c>
      <c r="L729" s="24" t="str">
        <f aca="false">IF(OR(A729="",B729=""),"",Perfil!$C$13+(A729-1)*7+MATCH(B729,{"Lunes","Martes","Miércoles","Jueves","Viernes","Sábado","Domingo"},0)-1)</f>
        <v/>
      </c>
    </row>
    <row r="730" customFormat="false" ht="15" hidden="false" customHeight="false" outlineLevel="0" collapsed="false">
      <c r="G730" s="23" t="str">
        <f aca="false">IF(OR(D730="",E730=""),"",E730*IFERROR(VLOOKUP(F730,Perfil!$B$19:$C$24,2,0),1))</f>
        <v/>
      </c>
      <c r="H730" s="23" t="str">
        <f aca="false">IF(G730="","",G730/100*INDEX(Alimentos!$E$5:$E$40,MATCH($D730,Alimentos!$B$5:$B$40,0)))</f>
        <v/>
      </c>
      <c r="I730" s="23" t="str">
        <f aca="false">IF(G730="","",G730/100*INDEX(Alimentos!$F$5:$F$40,MATCH($D730,Alimentos!$B$5:$B$40,0)))</f>
        <v/>
      </c>
      <c r="J730" s="23" t="str">
        <f aca="false">IF(G730="","",G730/100*INDEX(Alimentos!$G$5:$G$40,MATCH($D730,Alimentos!$B$5:$B$40,0)))</f>
        <v/>
      </c>
      <c r="K730" s="23" t="str">
        <f aca="false">IF(G730="","",G730/100*INDEX(Alimentos!$H$5:$H$40,MATCH($D730,Alimentos!$B$5:$B$40,0)))</f>
        <v/>
      </c>
      <c r="L730" s="24" t="str">
        <f aca="false">IF(OR(A730="",B730=""),"",Perfil!$C$13+(A730-1)*7+MATCH(B730,{"Lunes","Martes","Miércoles","Jueves","Viernes","Sábado","Domingo"},0)-1)</f>
        <v/>
      </c>
    </row>
    <row r="731" customFormat="false" ht="15" hidden="false" customHeight="false" outlineLevel="0" collapsed="false">
      <c r="G731" s="23" t="str">
        <f aca="false">IF(OR(D731="",E731=""),"",E731*IFERROR(VLOOKUP(F731,Perfil!$B$19:$C$24,2,0),1))</f>
        <v/>
      </c>
      <c r="H731" s="23" t="str">
        <f aca="false">IF(G731="","",G731/100*INDEX(Alimentos!$E$5:$E$40,MATCH($D731,Alimentos!$B$5:$B$40,0)))</f>
        <v/>
      </c>
      <c r="I731" s="23" t="str">
        <f aca="false">IF(G731="","",G731/100*INDEX(Alimentos!$F$5:$F$40,MATCH($D731,Alimentos!$B$5:$B$40,0)))</f>
        <v/>
      </c>
      <c r="J731" s="23" t="str">
        <f aca="false">IF(G731="","",G731/100*INDEX(Alimentos!$G$5:$G$40,MATCH($D731,Alimentos!$B$5:$B$40,0)))</f>
        <v/>
      </c>
      <c r="K731" s="23" t="str">
        <f aca="false">IF(G731="","",G731/100*INDEX(Alimentos!$H$5:$H$40,MATCH($D731,Alimentos!$B$5:$B$40,0)))</f>
        <v/>
      </c>
      <c r="L731" s="24" t="str">
        <f aca="false">IF(OR(A731="",B731=""),"",Perfil!$C$13+(A731-1)*7+MATCH(B731,{"Lunes","Martes","Miércoles","Jueves","Viernes","Sábado","Domingo"},0)-1)</f>
        <v/>
      </c>
    </row>
    <row r="732" customFormat="false" ht="15" hidden="false" customHeight="false" outlineLevel="0" collapsed="false">
      <c r="G732" s="23" t="str">
        <f aca="false">IF(OR(D732="",E732=""),"",E732*IFERROR(VLOOKUP(F732,Perfil!$B$19:$C$24,2,0),1))</f>
        <v/>
      </c>
      <c r="H732" s="23" t="str">
        <f aca="false">IF(G732="","",G732/100*INDEX(Alimentos!$E$5:$E$40,MATCH($D732,Alimentos!$B$5:$B$40,0)))</f>
        <v/>
      </c>
      <c r="I732" s="23" t="str">
        <f aca="false">IF(G732="","",G732/100*INDEX(Alimentos!$F$5:$F$40,MATCH($D732,Alimentos!$B$5:$B$40,0)))</f>
        <v/>
      </c>
      <c r="J732" s="23" t="str">
        <f aca="false">IF(G732="","",G732/100*INDEX(Alimentos!$G$5:$G$40,MATCH($D732,Alimentos!$B$5:$B$40,0)))</f>
        <v/>
      </c>
      <c r="K732" s="23" t="str">
        <f aca="false">IF(G732="","",G732/100*INDEX(Alimentos!$H$5:$H$40,MATCH($D732,Alimentos!$B$5:$B$40,0)))</f>
        <v/>
      </c>
      <c r="L732" s="24" t="str">
        <f aca="false">IF(OR(A732="",B732=""),"",Perfil!$C$13+(A732-1)*7+MATCH(B732,{"Lunes","Martes","Miércoles","Jueves","Viernes","Sábado","Domingo"},0)-1)</f>
        <v/>
      </c>
    </row>
    <row r="733" customFormat="false" ht="15" hidden="false" customHeight="false" outlineLevel="0" collapsed="false">
      <c r="G733" s="23" t="str">
        <f aca="false">IF(OR(D733="",E733=""),"",E733*IFERROR(VLOOKUP(F733,Perfil!$B$19:$C$24,2,0),1))</f>
        <v/>
      </c>
      <c r="H733" s="23" t="str">
        <f aca="false">IF(G733="","",G733/100*INDEX(Alimentos!$E$5:$E$40,MATCH($D733,Alimentos!$B$5:$B$40,0)))</f>
        <v/>
      </c>
      <c r="I733" s="23" t="str">
        <f aca="false">IF(G733="","",G733/100*INDEX(Alimentos!$F$5:$F$40,MATCH($D733,Alimentos!$B$5:$B$40,0)))</f>
        <v/>
      </c>
      <c r="J733" s="23" t="str">
        <f aca="false">IF(G733="","",G733/100*INDEX(Alimentos!$G$5:$G$40,MATCH($D733,Alimentos!$B$5:$B$40,0)))</f>
        <v/>
      </c>
      <c r="K733" s="23" t="str">
        <f aca="false">IF(G733="","",G733/100*INDEX(Alimentos!$H$5:$H$40,MATCH($D733,Alimentos!$B$5:$B$40,0)))</f>
        <v/>
      </c>
      <c r="L733" s="24" t="str">
        <f aca="false">IF(OR(A733="",B733=""),"",Perfil!$C$13+(A733-1)*7+MATCH(B733,{"Lunes","Martes","Miércoles","Jueves","Viernes","Sábado","Domingo"},0)-1)</f>
        <v/>
      </c>
    </row>
    <row r="734" customFormat="false" ht="15" hidden="false" customHeight="false" outlineLevel="0" collapsed="false">
      <c r="G734" s="23" t="str">
        <f aca="false">IF(OR(D734="",E734=""),"",E734*IFERROR(VLOOKUP(F734,Perfil!$B$19:$C$24,2,0),1))</f>
        <v/>
      </c>
      <c r="H734" s="23" t="str">
        <f aca="false">IF(G734="","",G734/100*INDEX(Alimentos!$E$5:$E$40,MATCH($D734,Alimentos!$B$5:$B$40,0)))</f>
        <v/>
      </c>
      <c r="I734" s="23" t="str">
        <f aca="false">IF(G734="","",G734/100*INDEX(Alimentos!$F$5:$F$40,MATCH($D734,Alimentos!$B$5:$B$40,0)))</f>
        <v/>
      </c>
      <c r="J734" s="23" t="str">
        <f aca="false">IF(G734="","",G734/100*INDEX(Alimentos!$G$5:$G$40,MATCH($D734,Alimentos!$B$5:$B$40,0)))</f>
        <v/>
      </c>
      <c r="K734" s="23" t="str">
        <f aca="false">IF(G734="","",G734/100*INDEX(Alimentos!$H$5:$H$40,MATCH($D734,Alimentos!$B$5:$B$40,0)))</f>
        <v/>
      </c>
      <c r="L734" s="24" t="str">
        <f aca="false">IF(OR(A734="",B734=""),"",Perfil!$C$13+(A734-1)*7+MATCH(B734,{"Lunes","Martes","Miércoles","Jueves","Viernes","Sábado","Domingo"},0)-1)</f>
        <v/>
      </c>
    </row>
    <row r="735" customFormat="false" ht="15" hidden="false" customHeight="false" outlineLevel="0" collapsed="false">
      <c r="G735" s="23" t="str">
        <f aca="false">IF(OR(D735="",E735=""),"",E735*IFERROR(VLOOKUP(F735,Perfil!$B$19:$C$24,2,0),1))</f>
        <v/>
      </c>
      <c r="H735" s="23" t="str">
        <f aca="false">IF(G735="","",G735/100*INDEX(Alimentos!$E$5:$E$40,MATCH($D735,Alimentos!$B$5:$B$40,0)))</f>
        <v/>
      </c>
      <c r="I735" s="23" t="str">
        <f aca="false">IF(G735="","",G735/100*INDEX(Alimentos!$F$5:$F$40,MATCH($D735,Alimentos!$B$5:$B$40,0)))</f>
        <v/>
      </c>
      <c r="J735" s="23" t="str">
        <f aca="false">IF(G735="","",G735/100*INDEX(Alimentos!$G$5:$G$40,MATCH($D735,Alimentos!$B$5:$B$40,0)))</f>
        <v/>
      </c>
      <c r="K735" s="23" t="str">
        <f aca="false">IF(G735="","",G735/100*INDEX(Alimentos!$H$5:$H$40,MATCH($D735,Alimentos!$B$5:$B$40,0)))</f>
        <v/>
      </c>
      <c r="L735" s="24" t="str">
        <f aca="false">IF(OR(A735="",B735=""),"",Perfil!$C$13+(A735-1)*7+MATCH(B735,{"Lunes","Martes","Miércoles","Jueves","Viernes","Sábado","Domingo"},0)-1)</f>
        <v/>
      </c>
    </row>
    <row r="736" customFormat="false" ht="15" hidden="false" customHeight="false" outlineLevel="0" collapsed="false">
      <c r="G736" s="23" t="str">
        <f aca="false">IF(OR(D736="",E736=""),"",E736*IFERROR(VLOOKUP(F736,Perfil!$B$19:$C$24,2,0),1))</f>
        <v/>
      </c>
      <c r="H736" s="23" t="str">
        <f aca="false">IF(G736="","",G736/100*INDEX(Alimentos!$E$5:$E$40,MATCH($D736,Alimentos!$B$5:$B$40,0)))</f>
        <v/>
      </c>
      <c r="I736" s="23" t="str">
        <f aca="false">IF(G736="","",G736/100*INDEX(Alimentos!$F$5:$F$40,MATCH($D736,Alimentos!$B$5:$B$40,0)))</f>
        <v/>
      </c>
      <c r="J736" s="23" t="str">
        <f aca="false">IF(G736="","",G736/100*INDEX(Alimentos!$G$5:$G$40,MATCH($D736,Alimentos!$B$5:$B$40,0)))</f>
        <v/>
      </c>
      <c r="K736" s="23" t="str">
        <f aca="false">IF(G736="","",G736/100*INDEX(Alimentos!$H$5:$H$40,MATCH($D736,Alimentos!$B$5:$B$40,0)))</f>
        <v/>
      </c>
      <c r="L736" s="24" t="str">
        <f aca="false">IF(OR(A736="",B736=""),"",Perfil!$C$13+(A736-1)*7+MATCH(B736,{"Lunes","Martes","Miércoles","Jueves","Viernes","Sábado","Domingo"},0)-1)</f>
        <v/>
      </c>
    </row>
    <row r="737" customFormat="false" ht="15" hidden="false" customHeight="false" outlineLevel="0" collapsed="false">
      <c r="G737" s="23" t="str">
        <f aca="false">IF(OR(D737="",E737=""),"",E737*IFERROR(VLOOKUP(F737,Perfil!$B$19:$C$24,2,0),1))</f>
        <v/>
      </c>
      <c r="H737" s="23" t="str">
        <f aca="false">IF(G737="","",G737/100*INDEX(Alimentos!$E$5:$E$40,MATCH($D737,Alimentos!$B$5:$B$40,0)))</f>
        <v/>
      </c>
      <c r="I737" s="23" t="str">
        <f aca="false">IF(G737="","",G737/100*INDEX(Alimentos!$F$5:$F$40,MATCH($D737,Alimentos!$B$5:$B$40,0)))</f>
        <v/>
      </c>
      <c r="J737" s="23" t="str">
        <f aca="false">IF(G737="","",G737/100*INDEX(Alimentos!$G$5:$G$40,MATCH($D737,Alimentos!$B$5:$B$40,0)))</f>
        <v/>
      </c>
      <c r="K737" s="23" t="str">
        <f aca="false">IF(G737="","",G737/100*INDEX(Alimentos!$H$5:$H$40,MATCH($D737,Alimentos!$B$5:$B$40,0)))</f>
        <v/>
      </c>
      <c r="L737" s="24" t="str">
        <f aca="false">IF(OR(A737="",B737=""),"",Perfil!$C$13+(A737-1)*7+MATCH(B737,{"Lunes","Martes","Miércoles","Jueves","Viernes","Sábado","Domingo"},0)-1)</f>
        <v/>
      </c>
    </row>
    <row r="738" customFormat="false" ht="15" hidden="false" customHeight="false" outlineLevel="0" collapsed="false">
      <c r="G738" s="23" t="str">
        <f aca="false">IF(OR(D738="",E738=""),"",E738*IFERROR(VLOOKUP(F738,Perfil!$B$19:$C$24,2,0),1))</f>
        <v/>
      </c>
      <c r="H738" s="23" t="str">
        <f aca="false">IF(G738="","",G738/100*INDEX(Alimentos!$E$5:$E$40,MATCH($D738,Alimentos!$B$5:$B$40,0)))</f>
        <v/>
      </c>
      <c r="I738" s="23" t="str">
        <f aca="false">IF(G738="","",G738/100*INDEX(Alimentos!$F$5:$F$40,MATCH($D738,Alimentos!$B$5:$B$40,0)))</f>
        <v/>
      </c>
      <c r="J738" s="23" t="str">
        <f aca="false">IF(G738="","",G738/100*INDEX(Alimentos!$G$5:$G$40,MATCH($D738,Alimentos!$B$5:$B$40,0)))</f>
        <v/>
      </c>
      <c r="K738" s="23" t="str">
        <f aca="false">IF(G738="","",G738/100*INDEX(Alimentos!$H$5:$H$40,MATCH($D738,Alimentos!$B$5:$B$40,0)))</f>
        <v/>
      </c>
      <c r="L738" s="24" t="str">
        <f aca="false">IF(OR(A738="",B738=""),"",Perfil!$C$13+(A738-1)*7+MATCH(B738,{"Lunes","Martes","Miércoles","Jueves","Viernes","Sábado","Domingo"},0)-1)</f>
        <v/>
      </c>
    </row>
    <row r="739" customFormat="false" ht="15" hidden="false" customHeight="false" outlineLevel="0" collapsed="false">
      <c r="G739" s="23" t="str">
        <f aca="false">IF(OR(D739="",E739=""),"",E739*IFERROR(VLOOKUP(F739,Perfil!$B$19:$C$24,2,0),1))</f>
        <v/>
      </c>
      <c r="H739" s="23" t="str">
        <f aca="false">IF(G739="","",G739/100*INDEX(Alimentos!$E$5:$E$40,MATCH($D739,Alimentos!$B$5:$B$40,0)))</f>
        <v/>
      </c>
      <c r="I739" s="23" t="str">
        <f aca="false">IF(G739="","",G739/100*INDEX(Alimentos!$F$5:$F$40,MATCH($D739,Alimentos!$B$5:$B$40,0)))</f>
        <v/>
      </c>
      <c r="J739" s="23" t="str">
        <f aca="false">IF(G739="","",G739/100*INDEX(Alimentos!$G$5:$G$40,MATCH($D739,Alimentos!$B$5:$B$40,0)))</f>
        <v/>
      </c>
      <c r="K739" s="23" t="str">
        <f aca="false">IF(G739="","",G739/100*INDEX(Alimentos!$H$5:$H$40,MATCH($D739,Alimentos!$B$5:$B$40,0)))</f>
        <v/>
      </c>
      <c r="L739" s="24" t="str">
        <f aca="false">IF(OR(A739="",B739=""),"",Perfil!$C$13+(A739-1)*7+MATCH(B739,{"Lunes","Martes","Miércoles","Jueves","Viernes","Sábado","Domingo"},0)-1)</f>
        <v/>
      </c>
    </row>
    <row r="740" customFormat="false" ht="15" hidden="false" customHeight="false" outlineLevel="0" collapsed="false">
      <c r="G740" s="23" t="str">
        <f aca="false">IF(OR(D740="",E740=""),"",E740*IFERROR(VLOOKUP(F740,Perfil!$B$19:$C$24,2,0),1))</f>
        <v/>
      </c>
      <c r="H740" s="23" t="str">
        <f aca="false">IF(G740="","",G740/100*INDEX(Alimentos!$E$5:$E$40,MATCH($D740,Alimentos!$B$5:$B$40,0)))</f>
        <v/>
      </c>
      <c r="I740" s="23" t="str">
        <f aca="false">IF(G740="","",G740/100*INDEX(Alimentos!$F$5:$F$40,MATCH($D740,Alimentos!$B$5:$B$40,0)))</f>
        <v/>
      </c>
      <c r="J740" s="23" t="str">
        <f aca="false">IF(G740="","",G740/100*INDEX(Alimentos!$G$5:$G$40,MATCH($D740,Alimentos!$B$5:$B$40,0)))</f>
        <v/>
      </c>
      <c r="K740" s="23" t="str">
        <f aca="false">IF(G740="","",G740/100*INDEX(Alimentos!$H$5:$H$40,MATCH($D740,Alimentos!$B$5:$B$40,0)))</f>
        <v/>
      </c>
      <c r="L740" s="24" t="str">
        <f aca="false">IF(OR(A740="",B740=""),"",Perfil!$C$13+(A740-1)*7+MATCH(B740,{"Lunes","Martes","Miércoles","Jueves","Viernes","Sábado","Domingo"},0)-1)</f>
        <v/>
      </c>
    </row>
    <row r="741" customFormat="false" ht="15" hidden="false" customHeight="false" outlineLevel="0" collapsed="false">
      <c r="G741" s="23" t="str">
        <f aca="false">IF(OR(D741="",E741=""),"",E741*IFERROR(VLOOKUP(F741,Perfil!$B$19:$C$24,2,0),1))</f>
        <v/>
      </c>
      <c r="H741" s="23" t="str">
        <f aca="false">IF(G741="","",G741/100*INDEX(Alimentos!$E$5:$E$40,MATCH($D741,Alimentos!$B$5:$B$40,0)))</f>
        <v/>
      </c>
      <c r="I741" s="23" t="str">
        <f aca="false">IF(G741="","",G741/100*INDEX(Alimentos!$F$5:$F$40,MATCH($D741,Alimentos!$B$5:$B$40,0)))</f>
        <v/>
      </c>
      <c r="J741" s="23" t="str">
        <f aca="false">IF(G741="","",G741/100*INDEX(Alimentos!$G$5:$G$40,MATCH($D741,Alimentos!$B$5:$B$40,0)))</f>
        <v/>
      </c>
      <c r="K741" s="23" t="str">
        <f aca="false">IF(G741="","",G741/100*INDEX(Alimentos!$H$5:$H$40,MATCH($D741,Alimentos!$B$5:$B$40,0)))</f>
        <v/>
      </c>
      <c r="L741" s="24" t="str">
        <f aca="false">IF(OR(A741="",B741=""),"",Perfil!$C$13+(A741-1)*7+MATCH(B741,{"Lunes","Martes","Miércoles","Jueves","Viernes","Sábado","Domingo"},0)-1)</f>
        <v/>
      </c>
    </row>
    <row r="742" customFormat="false" ht="15" hidden="false" customHeight="false" outlineLevel="0" collapsed="false">
      <c r="G742" s="23" t="str">
        <f aca="false">IF(OR(D742="",E742=""),"",E742*IFERROR(VLOOKUP(F742,Perfil!$B$19:$C$24,2,0),1))</f>
        <v/>
      </c>
      <c r="H742" s="23" t="str">
        <f aca="false">IF(G742="","",G742/100*INDEX(Alimentos!$E$5:$E$40,MATCH($D742,Alimentos!$B$5:$B$40,0)))</f>
        <v/>
      </c>
      <c r="I742" s="23" t="str">
        <f aca="false">IF(G742="","",G742/100*INDEX(Alimentos!$F$5:$F$40,MATCH($D742,Alimentos!$B$5:$B$40,0)))</f>
        <v/>
      </c>
      <c r="J742" s="23" t="str">
        <f aca="false">IF(G742="","",G742/100*INDEX(Alimentos!$G$5:$G$40,MATCH($D742,Alimentos!$B$5:$B$40,0)))</f>
        <v/>
      </c>
      <c r="K742" s="23" t="str">
        <f aca="false">IF(G742="","",G742/100*INDEX(Alimentos!$H$5:$H$40,MATCH($D742,Alimentos!$B$5:$B$40,0)))</f>
        <v/>
      </c>
      <c r="L742" s="24" t="str">
        <f aca="false">IF(OR(A742="",B742=""),"",Perfil!$C$13+(A742-1)*7+MATCH(B742,{"Lunes","Martes","Miércoles","Jueves","Viernes","Sábado","Domingo"},0)-1)</f>
        <v/>
      </c>
    </row>
    <row r="743" customFormat="false" ht="15" hidden="false" customHeight="false" outlineLevel="0" collapsed="false">
      <c r="G743" s="23" t="str">
        <f aca="false">IF(OR(D743="",E743=""),"",E743*IFERROR(VLOOKUP(F743,Perfil!$B$19:$C$24,2,0),1))</f>
        <v/>
      </c>
      <c r="H743" s="23" t="str">
        <f aca="false">IF(G743="","",G743/100*INDEX(Alimentos!$E$5:$E$40,MATCH($D743,Alimentos!$B$5:$B$40,0)))</f>
        <v/>
      </c>
      <c r="I743" s="23" t="str">
        <f aca="false">IF(G743="","",G743/100*INDEX(Alimentos!$F$5:$F$40,MATCH($D743,Alimentos!$B$5:$B$40,0)))</f>
        <v/>
      </c>
      <c r="J743" s="23" t="str">
        <f aca="false">IF(G743="","",G743/100*INDEX(Alimentos!$G$5:$G$40,MATCH($D743,Alimentos!$B$5:$B$40,0)))</f>
        <v/>
      </c>
      <c r="K743" s="23" t="str">
        <f aca="false">IF(G743="","",G743/100*INDEX(Alimentos!$H$5:$H$40,MATCH($D743,Alimentos!$B$5:$B$40,0)))</f>
        <v/>
      </c>
      <c r="L743" s="24" t="str">
        <f aca="false">IF(OR(A743="",B743=""),"",Perfil!$C$13+(A743-1)*7+MATCH(B743,{"Lunes","Martes","Miércoles","Jueves","Viernes","Sábado","Domingo"},0)-1)</f>
        <v/>
      </c>
    </row>
    <row r="744" customFormat="false" ht="15" hidden="false" customHeight="false" outlineLevel="0" collapsed="false">
      <c r="G744" s="23" t="str">
        <f aca="false">IF(OR(D744="",E744=""),"",E744*IFERROR(VLOOKUP(F744,Perfil!$B$19:$C$24,2,0),1))</f>
        <v/>
      </c>
      <c r="H744" s="23" t="str">
        <f aca="false">IF(G744="","",G744/100*INDEX(Alimentos!$E$5:$E$40,MATCH($D744,Alimentos!$B$5:$B$40,0)))</f>
        <v/>
      </c>
      <c r="I744" s="23" t="str">
        <f aca="false">IF(G744="","",G744/100*INDEX(Alimentos!$F$5:$F$40,MATCH($D744,Alimentos!$B$5:$B$40,0)))</f>
        <v/>
      </c>
      <c r="J744" s="23" t="str">
        <f aca="false">IF(G744="","",G744/100*INDEX(Alimentos!$G$5:$G$40,MATCH($D744,Alimentos!$B$5:$B$40,0)))</f>
        <v/>
      </c>
      <c r="K744" s="23" t="str">
        <f aca="false">IF(G744="","",G744/100*INDEX(Alimentos!$H$5:$H$40,MATCH($D744,Alimentos!$B$5:$B$40,0)))</f>
        <v/>
      </c>
      <c r="L744" s="24" t="str">
        <f aca="false">IF(OR(A744="",B744=""),"",Perfil!$C$13+(A744-1)*7+MATCH(B744,{"Lunes","Martes","Miércoles","Jueves","Viernes","Sábado","Domingo"},0)-1)</f>
        <v/>
      </c>
    </row>
    <row r="745" customFormat="false" ht="15" hidden="false" customHeight="false" outlineLevel="0" collapsed="false">
      <c r="G745" s="23" t="str">
        <f aca="false">IF(OR(D745="",E745=""),"",E745*IFERROR(VLOOKUP(F745,Perfil!$B$19:$C$24,2,0),1))</f>
        <v/>
      </c>
      <c r="H745" s="23" t="str">
        <f aca="false">IF(G745="","",G745/100*INDEX(Alimentos!$E$5:$E$40,MATCH($D745,Alimentos!$B$5:$B$40,0)))</f>
        <v/>
      </c>
      <c r="I745" s="23" t="str">
        <f aca="false">IF(G745="","",G745/100*INDEX(Alimentos!$F$5:$F$40,MATCH($D745,Alimentos!$B$5:$B$40,0)))</f>
        <v/>
      </c>
      <c r="J745" s="23" t="str">
        <f aca="false">IF(G745="","",G745/100*INDEX(Alimentos!$G$5:$G$40,MATCH($D745,Alimentos!$B$5:$B$40,0)))</f>
        <v/>
      </c>
      <c r="K745" s="23" t="str">
        <f aca="false">IF(G745="","",G745/100*INDEX(Alimentos!$H$5:$H$40,MATCH($D745,Alimentos!$B$5:$B$40,0)))</f>
        <v/>
      </c>
      <c r="L745" s="24" t="str">
        <f aca="false">IF(OR(A745="",B745=""),"",Perfil!$C$13+(A745-1)*7+MATCH(B745,{"Lunes","Martes","Miércoles","Jueves","Viernes","Sábado","Domingo"},0)-1)</f>
        <v/>
      </c>
    </row>
    <row r="746" customFormat="false" ht="15" hidden="false" customHeight="false" outlineLevel="0" collapsed="false">
      <c r="G746" s="23" t="str">
        <f aca="false">IF(OR(D746="",E746=""),"",E746*IFERROR(VLOOKUP(F746,Perfil!$B$19:$C$24,2,0),1))</f>
        <v/>
      </c>
      <c r="H746" s="23" t="str">
        <f aca="false">IF(G746="","",G746/100*INDEX(Alimentos!$E$5:$E$40,MATCH($D746,Alimentos!$B$5:$B$40,0)))</f>
        <v/>
      </c>
      <c r="I746" s="23" t="str">
        <f aca="false">IF(G746="","",G746/100*INDEX(Alimentos!$F$5:$F$40,MATCH($D746,Alimentos!$B$5:$B$40,0)))</f>
        <v/>
      </c>
      <c r="J746" s="23" t="str">
        <f aca="false">IF(G746="","",G746/100*INDEX(Alimentos!$G$5:$G$40,MATCH($D746,Alimentos!$B$5:$B$40,0)))</f>
        <v/>
      </c>
      <c r="K746" s="23" t="str">
        <f aca="false">IF(G746="","",G746/100*INDEX(Alimentos!$H$5:$H$40,MATCH($D746,Alimentos!$B$5:$B$40,0)))</f>
        <v/>
      </c>
      <c r="L746" s="24" t="str">
        <f aca="false">IF(OR(A746="",B746=""),"",Perfil!$C$13+(A746-1)*7+MATCH(B746,{"Lunes","Martes","Miércoles","Jueves","Viernes","Sábado","Domingo"},0)-1)</f>
        <v/>
      </c>
    </row>
    <row r="747" customFormat="false" ht="15" hidden="false" customHeight="false" outlineLevel="0" collapsed="false">
      <c r="G747" s="23" t="str">
        <f aca="false">IF(OR(D747="",E747=""),"",E747*IFERROR(VLOOKUP(F747,Perfil!$B$19:$C$24,2,0),1))</f>
        <v/>
      </c>
      <c r="H747" s="23" t="str">
        <f aca="false">IF(G747="","",G747/100*INDEX(Alimentos!$E$5:$E$40,MATCH($D747,Alimentos!$B$5:$B$40,0)))</f>
        <v/>
      </c>
      <c r="I747" s="23" t="str">
        <f aca="false">IF(G747="","",G747/100*INDEX(Alimentos!$F$5:$F$40,MATCH($D747,Alimentos!$B$5:$B$40,0)))</f>
        <v/>
      </c>
      <c r="J747" s="23" t="str">
        <f aca="false">IF(G747="","",G747/100*INDEX(Alimentos!$G$5:$G$40,MATCH($D747,Alimentos!$B$5:$B$40,0)))</f>
        <v/>
      </c>
      <c r="K747" s="23" t="str">
        <f aca="false">IF(G747="","",G747/100*INDEX(Alimentos!$H$5:$H$40,MATCH($D747,Alimentos!$B$5:$B$40,0)))</f>
        <v/>
      </c>
      <c r="L747" s="24" t="str">
        <f aca="false">IF(OR(A747="",B747=""),"",Perfil!$C$13+(A747-1)*7+MATCH(B747,{"Lunes","Martes","Miércoles","Jueves","Viernes","Sábado","Domingo"},0)-1)</f>
        <v/>
      </c>
    </row>
    <row r="748" customFormat="false" ht="15" hidden="false" customHeight="false" outlineLevel="0" collapsed="false">
      <c r="G748" s="23" t="str">
        <f aca="false">IF(OR(D748="",E748=""),"",E748*IFERROR(VLOOKUP(F748,Perfil!$B$19:$C$24,2,0),1))</f>
        <v/>
      </c>
      <c r="H748" s="23" t="str">
        <f aca="false">IF(G748="","",G748/100*INDEX(Alimentos!$E$5:$E$40,MATCH($D748,Alimentos!$B$5:$B$40,0)))</f>
        <v/>
      </c>
      <c r="I748" s="23" t="str">
        <f aca="false">IF(G748="","",G748/100*INDEX(Alimentos!$F$5:$F$40,MATCH($D748,Alimentos!$B$5:$B$40,0)))</f>
        <v/>
      </c>
      <c r="J748" s="23" t="str">
        <f aca="false">IF(G748="","",G748/100*INDEX(Alimentos!$G$5:$G$40,MATCH($D748,Alimentos!$B$5:$B$40,0)))</f>
        <v/>
      </c>
      <c r="K748" s="23" t="str">
        <f aca="false">IF(G748="","",G748/100*INDEX(Alimentos!$H$5:$H$40,MATCH($D748,Alimentos!$B$5:$B$40,0)))</f>
        <v/>
      </c>
      <c r="L748" s="24" t="str">
        <f aca="false">IF(OR(A748="",B748=""),"",Perfil!$C$13+(A748-1)*7+MATCH(B748,{"Lunes","Martes","Miércoles","Jueves","Viernes","Sábado","Domingo"},0)-1)</f>
        <v/>
      </c>
    </row>
    <row r="749" customFormat="false" ht="15" hidden="false" customHeight="false" outlineLevel="0" collapsed="false">
      <c r="G749" s="23" t="str">
        <f aca="false">IF(OR(D749="",E749=""),"",E749*IFERROR(VLOOKUP(F749,Perfil!$B$19:$C$24,2,0),1))</f>
        <v/>
      </c>
      <c r="H749" s="23" t="str">
        <f aca="false">IF(G749="","",G749/100*INDEX(Alimentos!$E$5:$E$40,MATCH($D749,Alimentos!$B$5:$B$40,0)))</f>
        <v/>
      </c>
      <c r="I749" s="23" t="str">
        <f aca="false">IF(G749="","",G749/100*INDEX(Alimentos!$F$5:$F$40,MATCH($D749,Alimentos!$B$5:$B$40,0)))</f>
        <v/>
      </c>
      <c r="J749" s="23" t="str">
        <f aca="false">IF(G749="","",G749/100*INDEX(Alimentos!$G$5:$G$40,MATCH($D749,Alimentos!$B$5:$B$40,0)))</f>
        <v/>
      </c>
      <c r="K749" s="23" t="str">
        <f aca="false">IF(G749="","",G749/100*INDEX(Alimentos!$H$5:$H$40,MATCH($D749,Alimentos!$B$5:$B$40,0)))</f>
        <v/>
      </c>
      <c r="L749" s="24" t="str">
        <f aca="false">IF(OR(A749="",B749=""),"",Perfil!$C$13+(A749-1)*7+MATCH(B749,{"Lunes","Martes","Miércoles","Jueves","Viernes","Sábado","Domingo"},0)-1)</f>
        <v/>
      </c>
    </row>
    <row r="750" customFormat="false" ht="15" hidden="false" customHeight="false" outlineLevel="0" collapsed="false">
      <c r="G750" s="23" t="str">
        <f aca="false">IF(OR(D750="",E750=""),"",E750*IFERROR(VLOOKUP(F750,Perfil!$B$19:$C$24,2,0),1))</f>
        <v/>
      </c>
      <c r="H750" s="23" t="str">
        <f aca="false">IF(G750="","",G750/100*INDEX(Alimentos!$E$5:$E$40,MATCH($D750,Alimentos!$B$5:$B$40,0)))</f>
        <v/>
      </c>
      <c r="I750" s="23" t="str">
        <f aca="false">IF(G750="","",G750/100*INDEX(Alimentos!$F$5:$F$40,MATCH($D750,Alimentos!$B$5:$B$40,0)))</f>
        <v/>
      </c>
      <c r="J750" s="23" t="str">
        <f aca="false">IF(G750="","",G750/100*INDEX(Alimentos!$G$5:$G$40,MATCH($D750,Alimentos!$B$5:$B$40,0)))</f>
        <v/>
      </c>
      <c r="K750" s="23" t="str">
        <f aca="false">IF(G750="","",G750/100*INDEX(Alimentos!$H$5:$H$40,MATCH($D750,Alimentos!$B$5:$B$40,0)))</f>
        <v/>
      </c>
      <c r="L750" s="24" t="str">
        <f aca="false">IF(OR(A750="",B750=""),"",Perfil!$C$13+(A750-1)*7+MATCH(B750,{"Lunes","Martes","Miércoles","Jueves","Viernes","Sábado","Domingo"},0)-1)</f>
        <v/>
      </c>
    </row>
    <row r="751" customFormat="false" ht="15" hidden="false" customHeight="false" outlineLevel="0" collapsed="false">
      <c r="G751" s="23" t="str">
        <f aca="false">IF(OR(D751="",E751=""),"",E751*IFERROR(VLOOKUP(F751,Perfil!$B$19:$C$24,2,0),1))</f>
        <v/>
      </c>
      <c r="H751" s="23" t="str">
        <f aca="false">IF(G751="","",G751/100*INDEX(Alimentos!$E$5:$E$40,MATCH($D751,Alimentos!$B$5:$B$40,0)))</f>
        <v/>
      </c>
      <c r="I751" s="23" t="str">
        <f aca="false">IF(G751="","",G751/100*INDEX(Alimentos!$F$5:$F$40,MATCH($D751,Alimentos!$B$5:$B$40,0)))</f>
        <v/>
      </c>
      <c r="J751" s="23" t="str">
        <f aca="false">IF(G751="","",G751/100*INDEX(Alimentos!$G$5:$G$40,MATCH($D751,Alimentos!$B$5:$B$40,0)))</f>
        <v/>
      </c>
      <c r="K751" s="23" t="str">
        <f aca="false">IF(G751="","",G751/100*INDEX(Alimentos!$H$5:$H$40,MATCH($D751,Alimentos!$B$5:$B$40,0)))</f>
        <v/>
      </c>
      <c r="L751" s="24" t="str">
        <f aca="false">IF(OR(A751="",B751=""),"",Perfil!$C$13+(A751-1)*7+MATCH(B751,{"Lunes","Martes","Miércoles","Jueves","Viernes","Sábado","Domingo"},0)-1)</f>
        <v/>
      </c>
    </row>
    <row r="752" customFormat="false" ht="15" hidden="false" customHeight="false" outlineLevel="0" collapsed="false">
      <c r="G752" s="23" t="str">
        <f aca="false">IF(OR(D752="",E752=""),"",E752*IFERROR(VLOOKUP(F752,Perfil!$B$19:$C$24,2,0),1))</f>
        <v/>
      </c>
      <c r="H752" s="23" t="str">
        <f aca="false">IF(G752="","",G752/100*INDEX(Alimentos!$E$5:$E$40,MATCH($D752,Alimentos!$B$5:$B$40,0)))</f>
        <v/>
      </c>
      <c r="I752" s="23" t="str">
        <f aca="false">IF(G752="","",G752/100*INDEX(Alimentos!$F$5:$F$40,MATCH($D752,Alimentos!$B$5:$B$40,0)))</f>
        <v/>
      </c>
      <c r="J752" s="23" t="str">
        <f aca="false">IF(G752="","",G752/100*INDEX(Alimentos!$G$5:$G$40,MATCH($D752,Alimentos!$B$5:$B$40,0)))</f>
        <v/>
      </c>
      <c r="K752" s="23" t="str">
        <f aca="false">IF(G752="","",G752/100*INDEX(Alimentos!$H$5:$H$40,MATCH($D752,Alimentos!$B$5:$B$40,0)))</f>
        <v/>
      </c>
      <c r="L752" s="24" t="str">
        <f aca="false">IF(OR(A752="",B752=""),"",Perfil!$C$13+(A752-1)*7+MATCH(B752,{"Lunes","Martes","Miércoles","Jueves","Viernes","Sábado","Domingo"},0)-1)</f>
        <v/>
      </c>
    </row>
    <row r="753" customFormat="false" ht="15" hidden="false" customHeight="false" outlineLevel="0" collapsed="false">
      <c r="G753" s="23" t="str">
        <f aca="false">IF(OR(D753="",E753=""),"",E753*IFERROR(VLOOKUP(F753,Perfil!$B$19:$C$24,2,0),1))</f>
        <v/>
      </c>
      <c r="H753" s="23" t="str">
        <f aca="false">IF(G753="","",G753/100*INDEX(Alimentos!$E$5:$E$40,MATCH($D753,Alimentos!$B$5:$B$40,0)))</f>
        <v/>
      </c>
      <c r="I753" s="23" t="str">
        <f aca="false">IF(G753="","",G753/100*INDEX(Alimentos!$F$5:$F$40,MATCH($D753,Alimentos!$B$5:$B$40,0)))</f>
        <v/>
      </c>
      <c r="J753" s="23" t="str">
        <f aca="false">IF(G753="","",G753/100*INDEX(Alimentos!$G$5:$G$40,MATCH($D753,Alimentos!$B$5:$B$40,0)))</f>
        <v/>
      </c>
      <c r="K753" s="23" t="str">
        <f aca="false">IF(G753="","",G753/100*INDEX(Alimentos!$H$5:$H$40,MATCH($D753,Alimentos!$B$5:$B$40,0)))</f>
        <v/>
      </c>
      <c r="L753" s="24" t="str">
        <f aca="false">IF(OR(A753="",B753=""),"",Perfil!$C$13+(A753-1)*7+MATCH(B753,{"Lunes","Martes","Miércoles","Jueves","Viernes","Sábado","Domingo"},0)-1)</f>
        <v/>
      </c>
    </row>
    <row r="754" customFormat="false" ht="15" hidden="false" customHeight="false" outlineLevel="0" collapsed="false">
      <c r="G754" s="23" t="str">
        <f aca="false">IF(OR(D754="",E754=""),"",E754*IFERROR(VLOOKUP(F754,Perfil!$B$19:$C$24,2,0),1))</f>
        <v/>
      </c>
      <c r="H754" s="23" t="str">
        <f aca="false">IF(G754="","",G754/100*INDEX(Alimentos!$E$5:$E$40,MATCH($D754,Alimentos!$B$5:$B$40,0)))</f>
        <v/>
      </c>
      <c r="I754" s="23" t="str">
        <f aca="false">IF(G754="","",G754/100*INDEX(Alimentos!$F$5:$F$40,MATCH($D754,Alimentos!$B$5:$B$40,0)))</f>
        <v/>
      </c>
      <c r="J754" s="23" t="str">
        <f aca="false">IF(G754="","",G754/100*INDEX(Alimentos!$G$5:$G$40,MATCH($D754,Alimentos!$B$5:$B$40,0)))</f>
        <v/>
      </c>
      <c r="K754" s="23" t="str">
        <f aca="false">IF(G754="","",G754/100*INDEX(Alimentos!$H$5:$H$40,MATCH($D754,Alimentos!$B$5:$B$40,0)))</f>
        <v/>
      </c>
      <c r="L754" s="24" t="str">
        <f aca="false">IF(OR(A754="",B754=""),"",Perfil!$C$13+(A754-1)*7+MATCH(B754,{"Lunes","Martes","Miércoles","Jueves","Viernes","Sábado","Domingo"},0)-1)</f>
        <v/>
      </c>
    </row>
    <row r="755" customFormat="false" ht="15" hidden="false" customHeight="false" outlineLevel="0" collapsed="false">
      <c r="G755" s="23" t="str">
        <f aca="false">IF(OR(D755="",E755=""),"",E755*IFERROR(VLOOKUP(F755,Perfil!$B$19:$C$24,2,0),1))</f>
        <v/>
      </c>
      <c r="H755" s="23" t="str">
        <f aca="false">IF(G755="","",G755/100*INDEX(Alimentos!$E$5:$E$40,MATCH($D755,Alimentos!$B$5:$B$40,0)))</f>
        <v/>
      </c>
      <c r="I755" s="23" t="str">
        <f aca="false">IF(G755="","",G755/100*INDEX(Alimentos!$F$5:$F$40,MATCH($D755,Alimentos!$B$5:$B$40,0)))</f>
        <v/>
      </c>
      <c r="J755" s="23" t="str">
        <f aca="false">IF(G755="","",G755/100*INDEX(Alimentos!$G$5:$G$40,MATCH($D755,Alimentos!$B$5:$B$40,0)))</f>
        <v/>
      </c>
      <c r="K755" s="23" t="str">
        <f aca="false">IF(G755="","",G755/100*INDEX(Alimentos!$H$5:$H$40,MATCH($D755,Alimentos!$B$5:$B$40,0)))</f>
        <v/>
      </c>
      <c r="L755" s="24" t="str">
        <f aca="false">IF(OR(A755="",B755=""),"",Perfil!$C$13+(A755-1)*7+MATCH(B755,{"Lunes","Martes","Miércoles","Jueves","Viernes","Sábado","Domingo"},0)-1)</f>
        <v/>
      </c>
    </row>
    <row r="756" customFormat="false" ht="15" hidden="false" customHeight="false" outlineLevel="0" collapsed="false">
      <c r="G756" s="23" t="str">
        <f aca="false">IF(OR(D756="",E756=""),"",E756*IFERROR(VLOOKUP(F756,Perfil!$B$19:$C$24,2,0),1))</f>
        <v/>
      </c>
      <c r="H756" s="23" t="str">
        <f aca="false">IF(G756="","",G756/100*INDEX(Alimentos!$E$5:$E$40,MATCH($D756,Alimentos!$B$5:$B$40,0)))</f>
        <v/>
      </c>
      <c r="I756" s="23" t="str">
        <f aca="false">IF(G756="","",G756/100*INDEX(Alimentos!$F$5:$F$40,MATCH($D756,Alimentos!$B$5:$B$40,0)))</f>
        <v/>
      </c>
      <c r="J756" s="23" t="str">
        <f aca="false">IF(G756="","",G756/100*INDEX(Alimentos!$G$5:$G$40,MATCH($D756,Alimentos!$B$5:$B$40,0)))</f>
        <v/>
      </c>
      <c r="K756" s="23" t="str">
        <f aca="false">IF(G756="","",G756/100*INDEX(Alimentos!$H$5:$H$40,MATCH($D756,Alimentos!$B$5:$B$40,0)))</f>
        <v/>
      </c>
      <c r="L756" s="24" t="str">
        <f aca="false">IF(OR(A756="",B756=""),"",Perfil!$C$13+(A756-1)*7+MATCH(B756,{"Lunes","Martes","Miércoles","Jueves","Viernes","Sábado","Domingo"},0)-1)</f>
        <v/>
      </c>
    </row>
    <row r="757" customFormat="false" ht="15" hidden="false" customHeight="false" outlineLevel="0" collapsed="false">
      <c r="G757" s="23" t="str">
        <f aca="false">IF(OR(D757="",E757=""),"",E757*IFERROR(VLOOKUP(F757,Perfil!$B$19:$C$24,2,0),1))</f>
        <v/>
      </c>
      <c r="H757" s="23" t="str">
        <f aca="false">IF(G757="","",G757/100*INDEX(Alimentos!$E$5:$E$40,MATCH($D757,Alimentos!$B$5:$B$40,0)))</f>
        <v/>
      </c>
      <c r="I757" s="23" t="str">
        <f aca="false">IF(G757="","",G757/100*INDEX(Alimentos!$F$5:$F$40,MATCH($D757,Alimentos!$B$5:$B$40,0)))</f>
        <v/>
      </c>
      <c r="J757" s="23" t="str">
        <f aca="false">IF(G757="","",G757/100*INDEX(Alimentos!$G$5:$G$40,MATCH($D757,Alimentos!$B$5:$B$40,0)))</f>
        <v/>
      </c>
      <c r="K757" s="23" t="str">
        <f aca="false">IF(G757="","",G757/100*INDEX(Alimentos!$H$5:$H$40,MATCH($D757,Alimentos!$B$5:$B$40,0)))</f>
        <v/>
      </c>
      <c r="L757" s="24" t="str">
        <f aca="false">IF(OR(A757="",B757=""),"",Perfil!$C$13+(A757-1)*7+MATCH(B757,{"Lunes","Martes","Miércoles","Jueves","Viernes","Sábado","Domingo"},0)-1)</f>
        <v/>
      </c>
    </row>
    <row r="758" customFormat="false" ht="15" hidden="false" customHeight="false" outlineLevel="0" collapsed="false">
      <c r="G758" s="23" t="str">
        <f aca="false">IF(OR(D758="",E758=""),"",E758*IFERROR(VLOOKUP(F758,Perfil!$B$19:$C$24,2,0),1))</f>
        <v/>
      </c>
      <c r="H758" s="23" t="str">
        <f aca="false">IF(G758="","",G758/100*INDEX(Alimentos!$E$5:$E$40,MATCH($D758,Alimentos!$B$5:$B$40,0)))</f>
        <v/>
      </c>
      <c r="I758" s="23" t="str">
        <f aca="false">IF(G758="","",G758/100*INDEX(Alimentos!$F$5:$F$40,MATCH($D758,Alimentos!$B$5:$B$40,0)))</f>
        <v/>
      </c>
      <c r="J758" s="23" t="str">
        <f aca="false">IF(G758="","",G758/100*INDEX(Alimentos!$G$5:$G$40,MATCH($D758,Alimentos!$B$5:$B$40,0)))</f>
        <v/>
      </c>
      <c r="K758" s="23" t="str">
        <f aca="false">IF(G758="","",G758/100*INDEX(Alimentos!$H$5:$H$40,MATCH($D758,Alimentos!$B$5:$B$40,0)))</f>
        <v/>
      </c>
      <c r="L758" s="24" t="str">
        <f aca="false">IF(OR(A758="",B758=""),"",Perfil!$C$13+(A758-1)*7+MATCH(B758,{"Lunes","Martes","Miércoles","Jueves","Viernes","Sábado","Domingo"},0)-1)</f>
        <v/>
      </c>
    </row>
    <row r="759" customFormat="false" ht="15" hidden="false" customHeight="false" outlineLevel="0" collapsed="false">
      <c r="G759" s="23" t="str">
        <f aca="false">IF(OR(D759="",E759=""),"",E759*IFERROR(VLOOKUP(F759,Perfil!$B$19:$C$24,2,0),1))</f>
        <v/>
      </c>
      <c r="H759" s="23" t="str">
        <f aca="false">IF(G759="","",G759/100*INDEX(Alimentos!$E$5:$E$40,MATCH($D759,Alimentos!$B$5:$B$40,0)))</f>
        <v/>
      </c>
      <c r="I759" s="23" t="str">
        <f aca="false">IF(G759="","",G759/100*INDEX(Alimentos!$F$5:$F$40,MATCH($D759,Alimentos!$B$5:$B$40,0)))</f>
        <v/>
      </c>
      <c r="J759" s="23" t="str">
        <f aca="false">IF(G759="","",G759/100*INDEX(Alimentos!$G$5:$G$40,MATCH($D759,Alimentos!$B$5:$B$40,0)))</f>
        <v/>
      </c>
      <c r="K759" s="23" t="str">
        <f aca="false">IF(G759="","",G759/100*INDEX(Alimentos!$H$5:$H$40,MATCH($D759,Alimentos!$B$5:$B$40,0)))</f>
        <v/>
      </c>
      <c r="L759" s="24" t="str">
        <f aca="false">IF(OR(A759="",B759=""),"",Perfil!$C$13+(A759-1)*7+MATCH(B759,{"Lunes","Martes","Miércoles","Jueves","Viernes","Sábado","Domingo"},0)-1)</f>
        <v/>
      </c>
    </row>
    <row r="760" customFormat="false" ht="15" hidden="false" customHeight="false" outlineLevel="0" collapsed="false">
      <c r="G760" s="23" t="str">
        <f aca="false">IF(OR(D760="",E760=""),"",E760*IFERROR(VLOOKUP(F760,Perfil!$B$19:$C$24,2,0),1))</f>
        <v/>
      </c>
      <c r="H760" s="23" t="str">
        <f aca="false">IF(G760="","",G760/100*INDEX(Alimentos!$E$5:$E$40,MATCH($D760,Alimentos!$B$5:$B$40,0)))</f>
        <v/>
      </c>
      <c r="I760" s="23" t="str">
        <f aca="false">IF(G760="","",G760/100*INDEX(Alimentos!$F$5:$F$40,MATCH($D760,Alimentos!$B$5:$B$40,0)))</f>
        <v/>
      </c>
      <c r="J760" s="23" t="str">
        <f aca="false">IF(G760="","",G760/100*INDEX(Alimentos!$G$5:$G$40,MATCH($D760,Alimentos!$B$5:$B$40,0)))</f>
        <v/>
      </c>
      <c r="K760" s="23" t="str">
        <f aca="false">IF(G760="","",G760/100*INDEX(Alimentos!$H$5:$H$40,MATCH($D760,Alimentos!$B$5:$B$40,0)))</f>
        <v/>
      </c>
      <c r="L760" s="24" t="str">
        <f aca="false">IF(OR(A760="",B760=""),"",Perfil!$C$13+(A760-1)*7+MATCH(B760,{"Lunes","Martes","Miércoles","Jueves","Viernes","Sábado","Domingo"},0)-1)</f>
        <v/>
      </c>
    </row>
    <row r="761" customFormat="false" ht="15" hidden="false" customHeight="false" outlineLevel="0" collapsed="false">
      <c r="G761" s="23" t="str">
        <f aca="false">IF(OR(D761="",E761=""),"",E761*IFERROR(VLOOKUP(F761,Perfil!$B$19:$C$24,2,0),1))</f>
        <v/>
      </c>
      <c r="H761" s="23" t="str">
        <f aca="false">IF(G761="","",G761/100*INDEX(Alimentos!$E$5:$E$40,MATCH($D761,Alimentos!$B$5:$B$40,0)))</f>
        <v/>
      </c>
      <c r="I761" s="23" t="str">
        <f aca="false">IF(G761="","",G761/100*INDEX(Alimentos!$F$5:$F$40,MATCH($D761,Alimentos!$B$5:$B$40,0)))</f>
        <v/>
      </c>
      <c r="J761" s="23" t="str">
        <f aca="false">IF(G761="","",G761/100*INDEX(Alimentos!$G$5:$G$40,MATCH($D761,Alimentos!$B$5:$B$40,0)))</f>
        <v/>
      </c>
      <c r="K761" s="23" t="str">
        <f aca="false">IF(G761="","",G761/100*INDEX(Alimentos!$H$5:$H$40,MATCH($D761,Alimentos!$B$5:$B$40,0)))</f>
        <v/>
      </c>
      <c r="L761" s="24" t="str">
        <f aca="false">IF(OR(A761="",B761=""),"",Perfil!$C$13+(A761-1)*7+MATCH(B761,{"Lunes","Martes","Miércoles","Jueves","Viernes","Sábado","Domingo"},0)-1)</f>
        <v/>
      </c>
    </row>
    <row r="762" customFormat="false" ht="15" hidden="false" customHeight="false" outlineLevel="0" collapsed="false">
      <c r="G762" s="23" t="str">
        <f aca="false">IF(OR(D762="",E762=""),"",E762*IFERROR(VLOOKUP(F762,Perfil!$B$19:$C$24,2,0),1))</f>
        <v/>
      </c>
      <c r="H762" s="23" t="str">
        <f aca="false">IF(G762="","",G762/100*INDEX(Alimentos!$E$5:$E$40,MATCH($D762,Alimentos!$B$5:$B$40,0)))</f>
        <v/>
      </c>
      <c r="I762" s="23" t="str">
        <f aca="false">IF(G762="","",G762/100*INDEX(Alimentos!$F$5:$F$40,MATCH($D762,Alimentos!$B$5:$B$40,0)))</f>
        <v/>
      </c>
      <c r="J762" s="23" t="str">
        <f aca="false">IF(G762="","",G762/100*INDEX(Alimentos!$G$5:$G$40,MATCH($D762,Alimentos!$B$5:$B$40,0)))</f>
        <v/>
      </c>
      <c r="K762" s="23" t="str">
        <f aca="false">IF(G762="","",G762/100*INDEX(Alimentos!$H$5:$H$40,MATCH($D762,Alimentos!$B$5:$B$40,0)))</f>
        <v/>
      </c>
      <c r="L762" s="24" t="str">
        <f aca="false">IF(OR(A762="",B762=""),"",Perfil!$C$13+(A762-1)*7+MATCH(B762,{"Lunes","Martes","Miércoles","Jueves","Viernes","Sábado","Domingo"},0)-1)</f>
        <v/>
      </c>
    </row>
    <row r="763" customFormat="false" ht="15" hidden="false" customHeight="false" outlineLevel="0" collapsed="false">
      <c r="G763" s="23" t="str">
        <f aca="false">IF(OR(D763="",E763=""),"",E763*IFERROR(VLOOKUP(F763,Perfil!$B$19:$C$24,2,0),1))</f>
        <v/>
      </c>
      <c r="H763" s="23" t="str">
        <f aca="false">IF(G763="","",G763/100*INDEX(Alimentos!$E$5:$E$40,MATCH($D763,Alimentos!$B$5:$B$40,0)))</f>
        <v/>
      </c>
      <c r="I763" s="23" t="str">
        <f aca="false">IF(G763="","",G763/100*INDEX(Alimentos!$F$5:$F$40,MATCH($D763,Alimentos!$B$5:$B$40,0)))</f>
        <v/>
      </c>
      <c r="J763" s="23" t="str">
        <f aca="false">IF(G763="","",G763/100*INDEX(Alimentos!$G$5:$G$40,MATCH($D763,Alimentos!$B$5:$B$40,0)))</f>
        <v/>
      </c>
      <c r="K763" s="23" t="str">
        <f aca="false">IF(G763="","",G763/100*INDEX(Alimentos!$H$5:$H$40,MATCH($D763,Alimentos!$B$5:$B$40,0)))</f>
        <v/>
      </c>
      <c r="L763" s="24" t="str">
        <f aca="false">IF(OR(A763="",B763=""),"",Perfil!$C$13+(A763-1)*7+MATCH(B763,{"Lunes","Martes","Miércoles","Jueves","Viernes","Sábado","Domingo"},0)-1)</f>
        <v/>
      </c>
    </row>
    <row r="764" customFormat="false" ht="15" hidden="false" customHeight="false" outlineLevel="0" collapsed="false">
      <c r="G764" s="23" t="str">
        <f aca="false">IF(OR(D764="",E764=""),"",E764*IFERROR(VLOOKUP(F764,Perfil!$B$19:$C$24,2,0),1))</f>
        <v/>
      </c>
      <c r="H764" s="23" t="str">
        <f aca="false">IF(G764="","",G764/100*INDEX(Alimentos!$E$5:$E$40,MATCH($D764,Alimentos!$B$5:$B$40,0)))</f>
        <v/>
      </c>
      <c r="I764" s="23" t="str">
        <f aca="false">IF(G764="","",G764/100*INDEX(Alimentos!$F$5:$F$40,MATCH($D764,Alimentos!$B$5:$B$40,0)))</f>
        <v/>
      </c>
      <c r="J764" s="23" t="str">
        <f aca="false">IF(G764="","",G764/100*INDEX(Alimentos!$G$5:$G$40,MATCH($D764,Alimentos!$B$5:$B$40,0)))</f>
        <v/>
      </c>
      <c r="K764" s="23" t="str">
        <f aca="false">IF(G764="","",G764/100*INDEX(Alimentos!$H$5:$H$40,MATCH($D764,Alimentos!$B$5:$B$40,0)))</f>
        <v/>
      </c>
      <c r="L764" s="24" t="str">
        <f aca="false">IF(OR(A764="",B764=""),"",Perfil!$C$13+(A764-1)*7+MATCH(B764,{"Lunes","Martes","Miércoles","Jueves","Viernes","Sábado","Domingo"},0)-1)</f>
        <v/>
      </c>
    </row>
    <row r="765" customFormat="false" ht="15" hidden="false" customHeight="false" outlineLevel="0" collapsed="false">
      <c r="G765" s="23" t="str">
        <f aca="false">IF(OR(D765="",E765=""),"",E765*IFERROR(VLOOKUP(F765,Perfil!$B$19:$C$24,2,0),1))</f>
        <v/>
      </c>
      <c r="H765" s="23" t="str">
        <f aca="false">IF(G765="","",G765/100*INDEX(Alimentos!$E$5:$E$40,MATCH($D765,Alimentos!$B$5:$B$40,0)))</f>
        <v/>
      </c>
      <c r="I765" s="23" t="str">
        <f aca="false">IF(G765="","",G765/100*INDEX(Alimentos!$F$5:$F$40,MATCH($D765,Alimentos!$B$5:$B$40,0)))</f>
        <v/>
      </c>
      <c r="J765" s="23" t="str">
        <f aca="false">IF(G765="","",G765/100*INDEX(Alimentos!$G$5:$G$40,MATCH($D765,Alimentos!$B$5:$B$40,0)))</f>
        <v/>
      </c>
      <c r="K765" s="23" t="str">
        <f aca="false">IF(G765="","",G765/100*INDEX(Alimentos!$H$5:$H$40,MATCH($D765,Alimentos!$B$5:$B$40,0)))</f>
        <v/>
      </c>
      <c r="L765" s="24" t="str">
        <f aca="false">IF(OR(A765="",B765=""),"",Perfil!$C$13+(A765-1)*7+MATCH(B765,{"Lunes","Martes","Miércoles","Jueves","Viernes","Sábado","Domingo"},0)-1)</f>
        <v/>
      </c>
    </row>
    <row r="766" customFormat="false" ht="15" hidden="false" customHeight="false" outlineLevel="0" collapsed="false">
      <c r="G766" s="23" t="str">
        <f aca="false">IF(OR(D766="",E766=""),"",E766*IFERROR(VLOOKUP(F766,Perfil!$B$19:$C$24,2,0),1))</f>
        <v/>
      </c>
      <c r="H766" s="23" t="str">
        <f aca="false">IF(G766="","",G766/100*INDEX(Alimentos!$E$5:$E$40,MATCH($D766,Alimentos!$B$5:$B$40,0)))</f>
        <v/>
      </c>
      <c r="I766" s="23" t="str">
        <f aca="false">IF(G766="","",G766/100*INDEX(Alimentos!$F$5:$F$40,MATCH($D766,Alimentos!$B$5:$B$40,0)))</f>
        <v/>
      </c>
      <c r="J766" s="23" t="str">
        <f aca="false">IF(G766="","",G766/100*INDEX(Alimentos!$G$5:$G$40,MATCH($D766,Alimentos!$B$5:$B$40,0)))</f>
        <v/>
      </c>
      <c r="K766" s="23" t="str">
        <f aca="false">IF(G766="","",G766/100*INDEX(Alimentos!$H$5:$H$40,MATCH($D766,Alimentos!$B$5:$B$40,0)))</f>
        <v/>
      </c>
      <c r="L766" s="24" t="str">
        <f aca="false">IF(OR(A766="",B766=""),"",Perfil!$C$13+(A766-1)*7+MATCH(B766,{"Lunes","Martes","Miércoles","Jueves","Viernes","Sábado","Domingo"},0)-1)</f>
        <v/>
      </c>
    </row>
    <row r="767" customFormat="false" ht="15" hidden="false" customHeight="false" outlineLevel="0" collapsed="false">
      <c r="G767" s="23" t="str">
        <f aca="false">IF(OR(D767="",E767=""),"",E767*IFERROR(VLOOKUP(F767,Perfil!$B$19:$C$24,2,0),1))</f>
        <v/>
      </c>
      <c r="H767" s="23" t="str">
        <f aca="false">IF(G767="","",G767/100*INDEX(Alimentos!$E$5:$E$40,MATCH($D767,Alimentos!$B$5:$B$40,0)))</f>
        <v/>
      </c>
      <c r="I767" s="23" t="str">
        <f aca="false">IF(G767="","",G767/100*INDEX(Alimentos!$F$5:$F$40,MATCH($D767,Alimentos!$B$5:$B$40,0)))</f>
        <v/>
      </c>
      <c r="J767" s="23" t="str">
        <f aca="false">IF(G767="","",G767/100*INDEX(Alimentos!$G$5:$G$40,MATCH($D767,Alimentos!$B$5:$B$40,0)))</f>
        <v/>
      </c>
      <c r="K767" s="23" t="str">
        <f aca="false">IF(G767="","",G767/100*INDEX(Alimentos!$H$5:$H$40,MATCH($D767,Alimentos!$B$5:$B$40,0)))</f>
        <v/>
      </c>
      <c r="L767" s="24" t="str">
        <f aca="false">IF(OR(A767="",B767=""),"",Perfil!$C$13+(A767-1)*7+MATCH(B767,{"Lunes","Martes","Miércoles","Jueves","Viernes","Sábado","Domingo"},0)-1)</f>
        <v/>
      </c>
    </row>
    <row r="768" customFormat="false" ht="15" hidden="false" customHeight="false" outlineLevel="0" collapsed="false">
      <c r="G768" s="23" t="str">
        <f aca="false">IF(OR(D768="",E768=""),"",E768*IFERROR(VLOOKUP(F768,Perfil!$B$19:$C$24,2,0),1))</f>
        <v/>
      </c>
      <c r="H768" s="23" t="str">
        <f aca="false">IF(G768="","",G768/100*INDEX(Alimentos!$E$5:$E$40,MATCH($D768,Alimentos!$B$5:$B$40,0)))</f>
        <v/>
      </c>
      <c r="I768" s="23" t="str">
        <f aca="false">IF(G768="","",G768/100*INDEX(Alimentos!$F$5:$F$40,MATCH($D768,Alimentos!$B$5:$B$40,0)))</f>
        <v/>
      </c>
      <c r="J768" s="23" t="str">
        <f aca="false">IF(G768="","",G768/100*INDEX(Alimentos!$G$5:$G$40,MATCH($D768,Alimentos!$B$5:$B$40,0)))</f>
        <v/>
      </c>
      <c r="K768" s="23" t="str">
        <f aca="false">IF(G768="","",G768/100*INDEX(Alimentos!$H$5:$H$40,MATCH($D768,Alimentos!$B$5:$B$40,0)))</f>
        <v/>
      </c>
      <c r="L768" s="24" t="str">
        <f aca="false">IF(OR(A768="",B768=""),"",Perfil!$C$13+(A768-1)*7+MATCH(B768,{"Lunes","Martes","Miércoles","Jueves","Viernes","Sábado","Domingo"},0)-1)</f>
        <v/>
      </c>
    </row>
    <row r="769" customFormat="false" ht="15" hidden="false" customHeight="false" outlineLevel="0" collapsed="false">
      <c r="G769" s="23" t="str">
        <f aca="false">IF(OR(D769="",E769=""),"",E769*IFERROR(VLOOKUP(F769,Perfil!$B$19:$C$24,2,0),1))</f>
        <v/>
      </c>
      <c r="H769" s="23" t="str">
        <f aca="false">IF(G769="","",G769/100*INDEX(Alimentos!$E$5:$E$40,MATCH($D769,Alimentos!$B$5:$B$40,0)))</f>
        <v/>
      </c>
      <c r="I769" s="23" t="str">
        <f aca="false">IF(G769="","",G769/100*INDEX(Alimentos!$F$5:$F$40,MATCH($D769,Alimentos!$B$5:$B$40,0)))</f>
        <v/>
      </c>
      <c r="J769" s="23" t="str">
        <f aca="false">IF(G769="","",G769/100*INDEX(Alimentos!$G$5:$G$40,MATCH($D769,Alimentos!$B$5:$B$40,0)))</f>
        <v/>
      </c>
      <c r="K769" s="23" t="str">
        <f aca="false">IF(G769="","",G769/100*INDEX(Alimentos!$H$5:$H$40,MATCH($D769,Alimentos!$B$5:$B$40,0)))</f>
        <v/>
      </c>
      <c r="L769" s="24" t="str">
        <f aca="false">IF(OR(A769="",B769=""),"",Perfil!$C$13+(A769-1)*7+MATCH(B769,{"Lunes","Martes","Miércoles","Jueves","Viernes","Sábado","Domingo"},0)-1)</f>
        <v/>
      </c>
    </row>
    <row r="770" customFormat="false" ht="15" hidden="false" customHeight="false" outlineLevel="0" collapsed="false">
      <c r="G770" s="23" t="str">
        <f aca="false">IF(OR(D770="",E770=""),"",E770*IFERROR(VLOOKUP(F770,Perfil!$B$19:$C$24,2,0),1))</f>
        <v/>
      </c>
      <c r="H770" s="23" t="str">
        <f aca="false">IF(G770="","",G770/100*INDEX(Alimentos!$E$5:$E$40,MATCH($D770,Alimentos!$B$5:$B$40,0)))</f>
        <v/>
      </c>
      <c r="I770" s="23" t="str">
        <f aca="false">IF(G770="","",G770/100*INDEX(Alimentos!$F$5:$F$40,MATCH($D770,Alimentos!$B$5:$B$40,0)))</f>
        <v/>
      </c>
      <c r="J770" s="23" t="str">
        <f aca="false">IF(G770="","",G770/100*INDEX(Alimentos!$G$5:$G$40,MATCH($D770,Alimentos!$B$5:$B$40,0)))</f>
        <v/>
      </c>
      <c r="K770" s="23" t="str">
        <f aca="false">IF(G770="","",G770/100*INDEX(Alimentos!$H$5:$H$40,MATCH($D770,Alimentos!$B$5:$B$40,0)))</f>
        <v/>
      </c>
      <c r="L770" s="24" t="str">
        <f aca="false">IF(OR(A770="",B770=""),"",Perfil!$C$13+(A770-1)*7+MATCH(B770,{"Lunes","Martes","Miércoles","Jueves","Viernes","Sábado","Domingo"},0)-1)</f>
        <v/>
      </c>
    </row>
    <row r="771" customFormat="false" ht="15" hidden="false" customHeight="false" outlineLevel="0" collapsed="false">
      <c r="G771" s="23" t="str">
        <f aca="false">IF(OR(D771="",E771=""),"",E771*IFERROR(VLOOKUP(F771,Perfil!$B$19:$C$24,2,0),1))</f>
        <v/>
      </c>
      <c r="H771" s="23" t="str">
        <f aca="false">IF(G771="","",G771/100*INDEX(Alimentos!$E$5:$E$40,MATCH($D771,Alimentos!$B$5:$B$40,0)))</f>
        <v/>
      </c>
      <c r="I771" s="23" t="str">
        <f aca="false">IF(G771="","",G771/100*INDEX(Alimentos!$F$5:$F$40,MATCH($D771,Alimentos!$B$5:$B$40,0)))</f>
        <v/>
      </c>
      <c r="J771" s="23" t="str">
        <f aca="false">IF(G771="","",G771/100*INDEX(Alimentos!$G$5:$G$40,MATCH($D771,Alimentos!$B$5:$B$40,0)))</f>
        <v/>
      </c>
      <c r="K771" s="23" t="str">
        <f aca="false">IF(G771="","",G771/100*INDEX(Alimentos!$H$5:$H$40,MATCH($D771,Alimentos!$B$5:$B$40,0)))</f>
        <v/>
      </c>
      <c r="L771" s="24" t="str">
        <f aca="false">IF(OR(A771="",B771=""),"",Perfil!$C$13+(A771-1)*7+MATCH(B771,{"Lunes","Martes","Miércoles","Jueves","Viernes","Sábado","Domingo"},0)-1)</f>
        <v/>
      </c>
    </row>
    <row r="772" customFormat="false" ht="15" hidden="false" customHeight="false" outlineLevel="0" collapsed="false">
      <c r="G772" s="23" t="str">
        <f aca="false">IF(OR(D772="",E772=""),"",E772*IFERROR(VLOOKUP(F772,Perfil!$B$19:$C$24,2,0),1))</f>
        <v/>
      </c>
      <c r="H772" s="23" t="str">
        <f aca="false">IF(G772="","",G772/100*INDEX(Alimentos!$E$5:$E$40,MATCH($D772,Alimentos!$B$5:$B$40,0)))</f>
        <v/>
      </c>
      <c r="I772" s="23" t="str">
        <f aca="false">IF(G772="","",G772/100*INDEX(Alimentos!$F$5:$F$40,MATCH($D772,Alimentos!$B$5:$B$40,0)))</f>
        <v/>
      </c>
      <c r="J772" s="23" t="str">
        <f aca="false">IF(G772="","",G772/100*INDEX(Alimentos!$G$5:$G$40,MATCH($D772,Alimentos!$B$5:$B$40,0)))</f>
        <v/>
      </c>
      <c r="K772" s="23" t="str">
        <f aca="false">IF(G772="","",G772/100*INDEX(Alimentos!$H$5:$H$40,MATCH($D772,Alimentos!$B$5:$B$40,0)))</f>
        <v/>
      </c>
      <c r="L772" s="24" t="str">
        <f aca="false">IF(OR(A772="",B772=""),"",Perfil!$C$13+(A772-1)*7+MATCH(B772,{"Lunes","Martes","Miércoles","Jueves","Viernes","Sábado","Domingo"},0)-1)</f>
        <v/>
      </c>
    </row>
    <row r="773" customFormat="false" ht="15" hidden="false" customHeight="false" outlineLevel="0" collapsed="false">
      <c r="G773" s="23" t="str">
        <f aca="false">IF(OR(D773="",E773=""),"",E773*IFERROR(VLOOKUP(F773,Perfil!$B$19:$C$24,2,0),1))</f>
        <v/>
      </c>
      <c r="H773" s="23" t="str">
        <f aca="false">IF(G773="","",G773/100*INDEX(Alimentos!$E$5:$E$40,MATCH($D773,Alimentos!$B$5:$B$40,0)))</f>
        <v/>
      </c>
      <c r="I773" s="23" t="str">
        <f aca="false">IF(G773="","",G773/100*INDEX(Alimentos!$F$5:$F$40,MATCH($D773,Alimentos!$B$5:$B$40,0)))</f>
        <v/>
      </c>
      <c r="J773" s="23" t="str">
        <f aca="false">IF(G773="","",G773/100*INDEX(Alimentos!$G$5:$G$40,MATCH($D773,Alimentos!$B$5:$B$40,0)))</f>
        <v/>
      </c>
      <c r="K773" s="23" t="str">
        <f aca="false">IF(G773="","",G773/100*INDEX(Alimentos!$H$5:$H$40,MATCH($D773,Alimentos!$B$5:$B$40,0)))</f>
        <v/>
      </c>
      <c r="L773" s="24" t="str">
        <f aca="false">IF(OR(A773="",B773=""),"",Perfil!$C$13+(A773-1)*7+MATCH(B773,{"Lunes","Martes","Miércoles","Jueves","Viernes","Sábado","Domingo"},0)-1)</f>
        <v/>
      </c>
    </row>
    <row r="774" customFormat="false" ht="15" hidden="false" customHeight="false" outlineLevel="0" collapsed="false">
      <c r="G774" s="23" t="str">
        <f aca="false">IF(OR(D774="",E774=""),"",E774*IFERROR(VLOOKUP(F774,Perfil!$B$19:$C$24,2,0),1))</f>
        <v/>
      </c>
      <c r="H774" s="23" t="str">
        <f aca="false">IF(G774="","",G774/100*INDEX(Alimentos!$E$5:$E$40,MATCH($D774,Alimentos!$B$5:$B$40,0)))</f>
        <v/>
      </c>
      <c r="I774" s="23" t="str">
        <f aca="false">IF(G774="","",G774/100*INDEX(Alimentos!$F$5:$F$40,MATCH($D774,Alimentos!$B$5:$B$40,0)))</f>
        <v/>
      </c>
      <c r="J774" s="23" t="str">
        <f aca="false">IF(G774="","",G774/100*INDEX(Alimentos!$G$5:$G$40,MATCH($D774,Alimentos!$B$5:$B$40,0)))</f>
        <v/>
      </c>
      <c r="K774" s="23" t="str">
        <f aca="false">IF(G774="","",G774/100*INDEX(Alimentos!$H$5:$H$40,MATCH($D774,Alimentos!$B$5:$B$40,0)))</f>
        <v/>
      </c>
      <c r="L774" s="24" t="str">
        <f aca="false">IF(OR(A774="",B774=""),"",Perfil!$C$13+(A774-1)*7+MATCH(B774,{"Lunes","Martes","Miércoles","Jueves","Viernes","Sábado","Domingo"},0)-1)</f>
        <v/>
      </c>
    </row>
    <row r="775" customFormat="false" ht="15" hidden="false" customHeight="false" outlineLevel="0" collapsed="false">
      <c r="G775" s="23" t="str">
        <f aca="false">IF(OR(D775="",E775=""),"",E775*IFERROR(VLOOKUP(F775,Perfil!$B$19:$C$24,2,0),1))</f>
        <v/>
      </c>
      <c r="H775" s="23" t="str">
        <f aca="false">IF(G775="","",G775/100*INDEX(Alimentos!$E$5:$E$40,MATCH($D775,Alimentos!$B$5:$B$40,0)))</f>
        <v/>
      </c>
      <c r="I775" s="23" t="str">
        <f aca="false">IF(G775="","",G775/100*INDEX(Alimentos!$F$5:$F$40,MATCH($D775,Alimentos!$B$5:$B$40,0)))</f>
        <v/>
      </c>
      <c r="J775" s="23" t="str">
        <f aca="false">IF(G775="","",G775/100*INDEX(Alimentos!$G$5:$G$40,MATCH($D775,Alimentos!$B$5:$B$40,0)))</f>
        <v/>
      </c>
      <c r="K775" s="23" t="str">
        <f aca="false">IF(G775="","",G775/100*INDEX(Alimentos!$H$5:$H$40,MATCH($D775,Alimentos!$B$5:$B$40,0)))</f>
        <v/>
      </c>
      <c r="L775" s="24" t="str">
        <f aca="false">IF(OR(A775="",B775=""),"",Perfil!$C$13+(A775-1)*7+MATCH(B775,{"Lunes","Martes","Miércoles","Jueves","Viernes","Sábado","Domingo"},0)-1)</f>
        <v/>
      </c>
    </row>
    <row r="776" customFormat="false" ht="15" hidden="false" customHeight="false" outlineLevel="0" collapsed="false">
      <c r="G776" s="23" t="str">
        <f aca="false">IF(OR(D776="",E776=""),"",E776*IFERROR(VLOOKUP(F776,Perfil!$B$19:$C$24,2,0),1))</f>
        <v/>
      </c>
      <c r="H776" s="23" t="str">
        <f aca="false">IF(G776="","",G776/100*INDEX(Alimentos!$E$5:$E$40,MATCH($D776,Alimentos!$B$5:$B$40,0)))</f>
        <v/>
      </c>
      <c r="I776" s="23" t="str">
        <f aca="false">IF(G776="","",G776/100*INDEX(Alimentos!$F$5:$F$40,MATCH($D776,Alimentos!$B$5:$B$40,0)))</f>
        <v/>
      </c>
      <c r="J776" s="23" t="str">
        <f aca="false">IF(G776="","",G776/100*INDEX(Alimentos!$G$5:$G$40,MATCH($D776,Alimentos!$B$5:$B$40,0)))</f>
        <v/>
      </c>
      <c r="K776" s="23" t="str">
        <f aca="false">IF(G776="","",G776/100*INDEX(Alimentos!$H$5:$H$40,MATCH($D776,Alimentos!$B$5:$B$40,0)))</f>
        <v/>
      </c>
      <c r="L776" s="24" t="str">
        <f aca="false">IF(OR(A776="",B776=""),"",Perfil!$C$13+(A776-1)*7+MATCH(B776,{"Lunes","Martes","Miércoles","Jueves","Viernes","Sábado","Domingo"},0)-1)</f>
        <v/>
      </c>
    </row>
    <row r="777" customFormat="false" ht="15" hidden="false" customHeight="false" outlineLevel="0" collapsed="false">
      <c r="G777" s="23" t="str">
        <f aca="false">IF(OR(D777="",E777=""),"",E777*IFERROR(VLOOKUP(F777,Perfil!$B$19:$C$24,2,0),1))</f>
        <v/>
      </c>
      <c r="H777" s="23" t="str">
        <f aca="false">IF(G777="","",G777/100*INDEX(Alimentos!$E$5:$E$40,MATCH($D777,Alimentos!$B$5:$B$40,0)))</f>
        <v/>
      </c>
      <c r="I777" s="23" t="str">
        <f aca="false">IF(G777="","",G777/100*INDEX(Alimentos!$F$5:$F$40,MATCH($D777,Alimentos!$B$5:$B$40,0)))</f>
        <v/>
      </c>
      <c r="J777" s="23" t="str">
        <f aca="false">IF(G777="","",G777/100*INDEX(Alimentos!$G$5:$G$40,MATCH($D777,Alimentos!$B$5:$B$40,0)))</f>
        <v/>
      </c>
      <c r="K777" s="23" t="str">
        <f aca="false">IF(G777="","",G777/100*INDEX(Alimentos!$H$5:$H$40,MATCH($D777,Alimentos!$B$5:$B$40,0)))</f>
        <v/>
      </c>
      <c r="L777" s="24" t="str">
        <f aca="false">IF(OR(A777="",B777=""),"",Perfil!$C$13+(A777-1)*7+MATCH(B777,{"Lunes","Martes","Miércoles","Jueves","Viernes","Sábado","Domingo"},0)-1)</f>
        <v/>
      </c>
    </row>
    <row r="778" customFormat="false" ht="15" hidden="false" customHeight="false" outlineLevel="0" collapsed="false">
      <c r="G778" s="23" t="str">
        <f aca="false">IF(OR(D778="",E778=""),"",E778*IFERROR(VLOOKUP(F778,Perfil!$B$19:$C$24,2,0),1))</f>
        <v/>
      </c>
      <c r="H778" s="23" t="str">
        <f aca="false">IF(G778="","",G778/100*INDEX(Alimentos!$E$5:$E$40,MATCH($D778,Alimentos!$B$5:$B$40,0)))</f>
        <v/>
      </c>
      <c r="I778" s="23" t="str">
        <f aca="false">IF(G778="","",G778/100*INDEX(Alimentos!$F$5:$F$40,MATCH($D778,Alimentos!$B$5:$B$40,0)))</f>
        <v/>
      </c>
      <c r="J778" s="23" t="str">
        <f aca="false">IF(G778="","",G778/100*INDEX(Alimentos!$G$5:$G$40,MATCH($D778,Alimentos!$B$5:$B$40,0)))</f>
        <v/>
      </c>
      <c r="K778" s="23" t="str">
        <f aca="false">IF(G778="","",G778/100*INDEX(Alimentos!$H$5:$H$40,MATCH($D778,Alimentos!$B$5:$B$40,0)))</f>
        <v/>
      </c>
      <c r="L778" s="24" t="str">
        <f aca="false">IF(OR(A778="",B778=""),"",Perfil!$C$13+(A778-1)*7+MATCH(B778,{"Lunes","Martes","Miércoles","Jueves","Viernes","Sábado","Domingo"},0)-1)</f>
        <v/>
      </c>
    </row>
    <row r="779" customFormat="false" ht="15" hidden="false" customHeight="false" outlineLevel="0" collapsed="false">
      <c r="G779" s="23" t="str">
        <f aca="false">IF(OR(D779="",E779=""),"",E779*IFERROR(VLOOKUP(F779,Perfil!$B$19:$C$24,2,0),1))</f>
        <v/>
      </c>
      <c r="H779" s="23" t="str">
        <f aca="false">IF(G779="","",G779/100*INDEX(Alimentos!$E$5:$E$40,MATCH($D779,Alimentos!$B$5:$B$40,0)))</f>
        <v/>
      </c>
      <c r="I779" s="23" t="str">
        <f aca="false">IF(G779="","",G779/100*INDEX(Alimentos!$F$5:$F$40,MATCH($D779,Alimentos!$B$5:$B$40,0)))</f>
        <v/>
      </c>
      <c r="J779" s="23" t="str">
        <f aca="false">IF(G779="","",G779/100*INDEX(Alimentos!$G$5:$G$40,MATCH($D779,Alimentos!$B$5:$B$40,0)))</f>
        <v/>
      </c>
      <c r="K779" s="23" t="str">
        <f aca="false">IF(G779="","",G779/100*INDEX(Alimentos!$H$5:$H$40,MATCH($D779,Alimentos!$B$5:$B$40,0)))</f>
        <v/>
      </c>
      <c r="L779" s="24" t="str">
        <f aca="false">IF(OR(A779="",B779=""),"",Perfil!$C$13+(A779-1)*7+MATCH(B779,{"Lunes","Martes","Miércoles","Jueves","Viernes","Sábado","Domingo"},0)-1)</f>
        <v/>
      </c>
    </row>
    <row r="780" customFormat="false" ht="15" hidden="false" customHeight="false" outlineLevel="0" collapsed="false">
      <c r="G780" s="23" t="str">
        <f aca="false">IF(OR(D780="",E780=""),"",E780*IFERROR(VLOOKUP(F780,Perfil!$B$19:$C$24,2,0),1))</f>
        <v/>
      </c>
      <c r="H780" s="23" t="str">
        <f aca="false">IF(G780="","",G780/100*INDEX(Alimentos!$E$5:$E$40,MATCH($D780,Alimentos!$B$5:$B$40,0)))</f>
        <v/>
      </c>
      <c r="I780" s="23" t="str">
        <f aca="false">IF(G780="","",G780/100*INDEX(Alimentos!$F$5:$F$40,MATCH($D780,Alimentos!$B$5:$B$40,0)))</f>
        <v/>
      </c>
      <c r="J780" s="23" t="str">
        <f aca="false">IF(G780="","",G780/100*INDEX(Alimentos!$G$5:$G$40,MATCH($D780,Alimentos!$B$5:$B$40,0)))</f>
        <v/>
      </c>
      <c r="K780" s="23" t="str">
        <f aca="false">IF(G780="","",G780/100*INDEX(Alimentos!$H$5:$H$40,MATCH($D780,Alimentos!$B$5:$B$40,0)))</f>
        <v/>
      </c>
      <c r="L780" s="24" t="str">
        <f aca="false">IF(OR(A780="",B780=""),"",Perfil!$C$13+(A780-1)*7+MATCH(B780,{"Lunes","Martes","Miércoles","Jueves","Viernes","Sábado","Domingo"},0)-1)</f>
        <v/>
      </c>
    </row>
    <row r="781" customFormat="false" ht="15" hidden="false" customHeight="false" outlineLevel="0" collapsed="false">
      <c r="G781" s="23" t="str">
        <f aca="false">IF(OR(D781="",E781=""),"",E781*IFERROR(VLOOKUP(F781,Perfil!$B$19:$C$24,2,0),1))</f>
        <v/>
      </c>
      <c r="H781" s="23" t="str">
        <f aca="false">IF(G781="","",G781/100*INDEX(Alimentos!$E$5:$E$40,MATCH($D781,Alimentos!$B$5:$B$40,0)))</f>
        <v/>
      </c>
      <c r="I781" s="23" t="str">
        <f aca="false">IF(G781="","",G781/100*INDEX(Alimentos!$F$5:$F$40,MATCH($D781,Alimentos!$B$5:$B$40,0)))</f>
        <v/>
      </c>
      <c r="J781" s="23" t="str">
        <f aca="false">IF(G781="","",G781/100*INDEX(Alimentos!$G$5:$G$40,MATCH($D781,Alimentos!$B$5:$B$40,0)))</f>
        <v/>
      </c>
      <c r="K781" s="23" t="str">
        <f aca="false">IF(G781="","",G781/100*INDEX(Alimentos!$H$5:$H$40,MATCH($D781,Alimentos!$B$5:$B$40,0)))</f>
        <v/>
      </c>
      <c r="L781" s="24" t="str">
        <f aca="false">IF(OR(A781="",B781=""),"",Perfil!$C$13+(A781-1)*7+MATCH(B781,{"Lunes","Martes","Miércoles","Jueves","Viernes","Sábado","Domingo"},0)-1)</f>
        <v/>
      </c>
    </row>
    <row r="782" customFormat="false" ht="15" hidden="false" customHeight="false" outlineLevel="0" collapsed="false">
      <c r="G782" s="23" t="str">
        <f aca="false">IF(OR(D782="",E782=""),"",E782*IFERROR(VLOOKUP(F782,Perfil!$B$19:$C$24,2,0),1))</f>
        <v/>
      </c>
      <c r="H782" s="23" t="str">
        <f aca="false">IF(G782="","",G782/100*INDEX(Alimentos!$E$5:$E$40,MATCH($D782,Alimentos!$B$5:$B$40,0)))</f>
        <v/>
      </c>
      <c r="I782" s="23" t="str">
        <f aca="false">IF(G782="","",G782/100*INDEX(Alimentos!$F$5:$F$40,MATCH($D782,Alimentos!$B$5:$B$40,0)))</f>
        <v/>
      </c>
      <c r="J782" s="23" t="str">
        <f aca="false">IF(G782="","",G782/100*INDEX(Alimentos!$G$5:$G$40,MATCH($D782,Alimentos!$B$5:$B$40,0)))</f>
        <v/>
      </c>
      <c r="K782" s="23" t="str">
        <f aca="false">IF(G782="","",G782/100*INDEX(Alimentos!$H$5:$H$40,MATCH($D782,Alimentos!$B$5:$B$40,0)))</f>
        <v/>
      </c>
      <c r="L782" s="24" t="str">
        <f aca="false">IF(OR(A782="",B782=""),"",Perfil!$C$13+(A782-1)*7+MATCH(B782,{"Lunes","Martes","Miércoles","Jueves","Viernes","Sábado","Domingo"},0)-1)</f>
        <v/>
      </c>
    </row>
    <row r="783" customFormat="false" ht="15" hidden="false" customHeight="false" outlineLevel="0" collapsed="false">
      <c r="G783" s="23" t="str">
        <f aca="false">IF(OR(D783="",E783=""),"",E783*IFERROR(VLOOKUP(F783,Perfil!$B$19:$C$24,2,0),1))</f>
        <v/>
      </c>
      <c r="H783" s="23" t="str">
        <f aca="false">IF(G783="","",G783/100*INDEX(Alimentos!$E$5:$E$40,MATCH($D783,Alimentos!$B$5:$B$40,0)))</f>
        <v/>
      </c>
      <c r="I783" s="23" t="str">
        <f aca="false">IF(G783="","",G783/100*INDEX(Alimentos!$F$5:$F$40,MATCH($D783,Alimentos!$B$5:$B$40,0)))</f>
        <v/>
      </c>
      <c r="J783" s="23" t="str">
        <f aca="false">IF(G783="","",G783/100*INDEX(Alimentos!$G$5:$G$40,MATCH($D783,Alimentos!$B$5:$B$40,0)))</f>
        <v/>
      </c>
      <c r="K783" s="23" t="str">
        <f aca="false">IF(G783="","",G783/100*INDEX(Alimentos!$H$5:$H$40,MATCH($D783,Alimentos!$B$5:$B$40,0)))</f>
        <v/>
      </c>
      <c r="L783" s="24" t="str">
        <f aca="false">IF(OR(A783="",B783=""),"",Perfil!$C$13+(A783-1)*7+MATCH(B783,{"Lunes","Martes","Miércoles","Jueves","Viernes","Sábado","Domingo"},0)-1)</f>
        <v/>
      </c>
    </row>
    <row r="784" customFormat="false" ht="15" hidden="false" customHeight="false" outlineLevel="0" collapsed="false">
      <c r="G784" s="23" t="str">
        <f aca="false">IF(OR(D784="",E784=""),"",E784*IFERROR(VLOOKUP(F784,Perfil!$B$19:$C$24,2,0),1))</f>
        <v/>
      </c>
      <c r="H784" s="23" t="str">
        <f aca="false">IF(G784="","",G784/100*INDEX(Alimentos!$E$5:$E$40,MATCH($D784,Alimentos!$B$5:$B$40,0)))</f>
        <v/>
      </c>
      <c r="I784" s="23" t="str">
        <f aca="false">IF(G784="","",G784/100*INDEX(Alimentos!$F$5:$F$40,MATCH($D784,Alimentos!$B$5:$B$40,0)))</f>
        <v/>
      </c>
      <c r="J784" s="23" t="str">
        <f aca="false">IF(G784="","",G784/100*INDEX(Alimentos!$G$5:$G$40,MATCH($D784,Alimentos!$B$5:$B$40,0)))</f>
        <v/>
      </c>
      <c r="K784" s="23" t="str">
        <f aca="false">IF(G784="","",G784/100*INDEX(Alimentos!$H$5:$H$40,MATCH($D784,Alimentos!$B$5:$B$40,0)))</f>
        <v/>
      </c>
      <c r="L784" s="24" t="str">
        <f aca="false">IF(OR(A784="",B784=""),"",Perfil!$C$13+(A784-1)*7+MATCH(B784,{"Lunes","Martes","Miércoles","Jueves","Viernes","Sábado","Domingo"},0)-1)</f>
        <v/>
      </c>
    </row>
    <row r="785" customFormat="false" ht="15" hidden="false" customHeight="false" outlineLevel="0" collapsed="false">
      <c r="G785" s="23" t="str">
        <f aca="false">IF(OR(D785="",E785=""),"",E785*IFERROR(VLOOKUP(F785,Perfil!$B$19:$C$24,2,0),1))</f>
        <v/>
      </c>
      <c r="H785" s="23" t="str">
        <f aca="false">IF(G785="","",G785/100*INDEX(Alimentos!$E$5:$E$40,MATCH($D785,Alimentos!$B$5:$B$40,0)))</f>
        <v/>
      </c>
      <c r="I785" s="23" t="str">
        <f aca="false">IF(G785="","",G785/100*INDEX(Alimentos!$F$5:$F$40,MATCH($D785,Alimentos!$B$5:$B$40,0)))</f>
        <v/>
      </c>
      <c r="J785" s="23" t="str">
        <f aca="false">IF(G785="","",G785/100*INDEX(Alimentos!$G$5:$G$40,MATCH($D785,Alimentos!$B$5:$B$40,0)))</f>
        <v/>
      </c>
      <c r="K785" s="23" t="str">
        <f aca="false">IF(G785="","",G785/100*INDEX(Alimentos!$H$5:$H$40,MATCH($D785,Alimentos!$B$5:$B$40,0)))</f>
        <v/>
      </c>
      <c r="L785" s="24" t="str">
        <f aca="false">IF(OR(A785="",B785=""),"",Perfil!$C$13+(A785-1)*7+MATCH(B785,{"Lunes","Martes","Miércoles","Jueves","Viernes","Sábado","Domingo"},0)-1)</f>
        <v/>
      </c>
    </row>
    <row r="786" customFormat="false" ht="15" hidden="false" customHeight="false" outlineLevel="0" collapsed="false">
      <c r="G786" s="23" t="str">
        <f aca="false">IF(OR(D786="",E786=""),"",E786*IFERROR(VLOOKUP(F786,Perfil!$B$19:$C$24,2,0),1))</f>
        <v/>
      </c>
      <c r="H786" s="23" t="str">
        <f aca="false">IF(G786="","",G786/100*INDEX(Alimentos!$E$5:$E$40,MATCH($D786,Alimentos!$B$5:$B$40,0)))</f>
        <v/>
      </c>
      <c r="I786" s="23" t="str">
        <f aca="false">IF(G786="","",G786/100*INDEX(Alimentos!$F$5:$F$40,MATCH($D786,Alimentos!$B$5:$B$40,0)))</f>
        <v/>
      </c>
      <c r="J786" s="23" t="str">
        <f aca="false">IF(G786="","",G786/100*INDEX(Alimentos!$G$5:$G$40,MATCH($D786,Alimentos!$B$5:$B$40,0)))</f>
        <v/>
      </c>
      <c r="K786" s="23" t="str">
        <f aca="false">IF(G786="","",G786/100*INDEX(Alimentos!$H$5:$H$40,MATCH($D786,Alimentos!$B$5:$B$40,0)))</f>
        <v/>
      </c>
      <c r="L786" s="24" t="str">
        <f aca="false">IF(OR(A786="",B786=""),"",Perfil!$C$13+(A786-1)*7+MATCH(B786,{"Lunes","Martes","Miércoles","Jueves","Viernes","Sábado","Domingo"},0)-1)</f>
        <v/>
      </c>
    </row>
    <row r="787" customFormat="false" ht="15" hidden="false" customHeight="false" outlineLevel="0" collapsed="false">
      <c r="G787" s="23" t="str">
        <f aca="false">IF(OR(D787="",E787=""),"",E787*IFERROR(VLOOKUP(F787,Perfil!$B$19:$C$24,2,0),1))</f>
        <v/>
      </c>
      <c r="H787" s="23" t="str">
        <f aca="false">IF(G787="","",G787/100*INDEX(Alimentos!$E$5:$E$40,MATCH($D787,Alimentos!$B$5:$B$40,0)))</f>
        <v/>
      </c>
      <c r="I787" s="23" t="str">
        <f aca="false">IF(G787="","",G787/100*INDEX(Alimentos!$F$5:$F$40,MATCH($D787,Alimentos!$B$5:$B$40,0)))</f>
        <v/>
      </c>
      <c r="J787" s="23" t="str">
        <f aca="false">IF(G787="","",G787/100*INDEX(Alimentos!$G$5:$G$40,MATCH($D787,Alimentos!$B$5:$B$40,0)))</f>
        <v/>
      </c>
      <c r="K787" s="23" t="str">
        <f aca="false">IF(G787="","",G787/100*INDEX(Alimentos!$H$5:$H$40,MATCH($D787,Alimentos!$B$5:$B$40,0)))</f>
        <v/>
      </c>
      <c r="L787" s="24" t="str">
        <f aca="false">IF(OR(A787="",B787=""),"",Perfil!$C$13+(A787-1)*7+MATCH(B787,{"Lunes","Martes","Miércoles","Jueves","Viernes","Sábado","Domingo"},0)-1)</f>
        <v/>
      </c>
    </row>
    <row r="788" customFormat="false" ht="15" hidden="false" customHeight="false" outlineLevel="0" collapsed="false">
      <c r="G788" s="23" t="str">
        <f aca="false">IF(OR(D788="",E788=""),"",E788*IFERROR(VLOOKUP(F788,Perfil!$B$19:$C$24,2,0),1))</f>
        <v/>
      </c>
      <c r="H788" s="23" t="str">
        <f aca="false">IF(G788="","",G788/100*INDEX(Alimentos!$E$5:$E$40,MATCH($D788,Alimentos!$B$5:$B$40,0)))</f>
        <v/>
      </c>
      <c r="I788" s="23" t="str">
        <f aca="false">IF(G788="","",G788/100*INDEX(Alimentos!$F$5:$F$40,MATCH($D788,Alimentos!$B$5:$B$40,0)))</f>
        <v/>
      </c>
      <c r="J788" s="23" t="str">
        <f aca="false">IF(G788="","",G788/100*INDEX(Alimentos!$G$5:$G$40,MATCH($D788,Alimentos!$B$5:$B$40,0)))</f>
        <v/>
      </c>
      <c r="K788" s="23" t="str">
        <f aca="false">IF(G788="","",G788/100*INDEX(Alimentos!$H$5:$H$40,MATCH($D788,Alimentos!$B$5:$B$40,0)))</f>
        <v/>
      </c>
      <c r="L788" s="24" t="str">
        <f aca="false">IF(OR(A788="",B788=""),"",Perfil!$C$13+(A788-1)*7+MATCH(B788,{"Lunes","Martes","Miércoles","Jueves","Viernes","Sábado","Domingo"},0)-1)</f>
        <v/>
      </c>
    </row>
    <row r="789" customFormat="false" ht="15" hidden="false" customHeight="false" outlineLevel="0" collapsed="false">
      <c r="G789" s="23" t="str">
        <f aca="false">IF(OR(D789="",E789=""),"",E789*IFERROR(VLOOKUP(F789,Perfil!$B$19:$C$24,2,0),1))</f>
        <v/>
      </c>
      <c r="H789" s="23" t="str">
        <f aca="false">IF(G789="","",G789/100*INDEX(Alimentos!$E$5:$E$40,MATCH($D789,Alimentos!$B$5:$B$40,0)))</f>
        <v/>
      </c>
      <c r="I789" s="23" t="str">
        <f aca="false">IF(G789="","",G789/100*INDEX(Alimentos!$F$5:$F$40,MATCH($D789,Alimentos!$B$5:$B$40,0)))</f>
        <v/>
      </c>
      <c r="J789" s="23" t="str">
        <f aca="false">IF(G789="","",G789/100*INDEX(Alimentos!$G$5:$G$40,MATCH($D789,Alimentos!$B$5:$B$40,0)))</f>
        <v/>
      </c>
      <c r="K789" s="23" t="str">
        <f aca="false">IF(G789="","",G789/100*INDEX(Alimentos!$H$5:$H$40,MATCH($D789,Alimentos!$B$5:$B$40,0)))</f>
        <v/>
      </c>
      <c r="L789" s="24" t="str">
        <f aca="false">IF(OR(A789="",B789=""),"",Perfil!$C$13+(A789-1)*7+MATCH(B789,{"Lunes","Martes","Miércoles","Jueves","Viernes","Sábado","Domingo"},0)-1)</f>
        <v/>
      </c>
    </row>
    <row r="790" customFormat="false" ht="15" hidden="false" customHeight="false" outlineLevel="0" collapsed="false">
      <c r="G790" s="23" t="str">
        <f aca="false">IF(OR(D790="",E790=""),"",E790*IFERROR(VLOOKUP(F790,Perfil!$B$19:$C$24,2,0),1))</f>
        <v/>
      </c>
      <c r="H790" s="23" t="str">
        <f aca="false">IF(G790="","",G790/100*INDEX(Alimentos!$E$5:$E$40,MATCH($D790,Alimentos!$B$5:$B$40,0)))</f>
        <v/>
      </c>
      <c r="I790" s="23" t="str">
        <f aca="false">IF(G790="","",G790/100*INDEX(Alimentos!$F$5:$F$40,MATCH($D790,Alimentos!$B$5:$B$40,0)))</f>
        <v/>
      </c>
      <c r="J790" s="23" t="str">
        <f aca="false">IF(G790="","",G790/100*INDEX(Alimentos!$G$5:$G$40,MATCH($D790,Alimentos!$B$5:$B$40,0)))</f>
        <v/>
      </c>
      <c r="K790" s="23" t="str">
        <f aca="false">IF(G790="","",G790/100*INDEX(Alimentos!$H$5:$H$40,MATCH($D790,Alimentos!$B$5:$B$40,0)))</f>
        <v/>
      </c>
      <c r="L790" s="24" t="str">
        <f aca="false">IF(OR(A790="",B790=""),"",Perfil!$C$13+(A790-1)*7+MATCH(B790,{"Lunes","Martes","Miércoles","Jueves","Viernes","Sábado","Domingo"},0)-1)</f>
        <v/>
      </c>
    </row>
    <row r="791" customFormat="false" ht="15" hidden="false" customHeight="false" outlineLevel="0" collapsed="false">
      <c r="G791" s="23" t="str">
        <f aca="false">IF(OR(D791="",E791=""),"",E791*IFERROR(VLOOKUP(F791,Perfil!$B$19:$C$24,2,0),1))</f>
        <v/>
      </c>
      <c r="H791" s="23" t="str">
        <f aca="false">IF(G791="","",G791/100*INDEX(Alimentos!$E$5:$E$40,MATCH($D791,Alimentos!$B$5:$B$40,0)))</f>
        <v/>
      </c>
      <c r="I791" s="23" t="str">
        <f aca="false">IF(G791="","",G791/100*INDEX(Alimentos!$F$5:$F$40,MATCH($D791,Alimentos!$B$5:$B$40,0)))</f>
        <v/>
      </c>
      <c r="J791" s="23" t="str">
        <f aca="false">IF(G791="","",G791/100*INDEX(Alimentos!$G$5:$G$40,MATCH($D791,Alimentos!$B$5:$B$40,0)))</f>
        <v/>
      </c>
      <c r="K791" s="23" t="str">
        <f aca="false">IF(G791="","",G791/100*INDEX(Alimentos!$H$5:$H$40,MATCH($D791,Alimentos!$B$5:$B$40,0)))</f>
        <v/>
      </c>
      <c r="L791" s="24" t="str">
        <f aca="false">IF(OR(A791="",B791=""),"",Perfil!$C$13+(A791-1)*7+MATCH(B791,{"Lunes","Martes","Miércoles","Jueves","Viernes","Sábado","Domingo"},0)-1)</f>
        <v/>
      </c>
    </row>
    <row r="792" customFormat="false" ht="15" hidden="false" customHeight="false" outlineLevel="0" collapsed="false">
      <c r="G792" s="23" t="str">
        <f aca="false">IF(OR(D792="",E792=""),"",E792*IFERROR(VLOOKUP(F792,Perfil!$B$19:$C$24,2,0),1))</f>
        <v/>
      </c>
      <c r="H792" s="23" t="str">
        <f aca="false">IF(G792="","",G792/100*INDEX(Alimentos!$E$5:$E$40,MATCH($D792,Alimentos!$B$5:$B$40,0)))</f>
        <v/>
      </c>
      <c r="I792" s="23" t="str">
        <f aca="false">IF(G792="","",G792/100*INDEX(Alimentos!$F$5:$F$40,MATCH($D792,Alimentos!$B$5:$B$40,0)))</f>
        <v/>
      </c>
      <c r="J792" s="23" t="str">
        <f aca="false">IF(G792="","",G792/100*INDEX(Alimentos!$G$5:$G$40,MATCH($D792,Alimentos!$B$5:$B$40,0)))</f>
        <v/>
      </c>
      <c r="K792" s="23" t="str">
        <f aca="false">IF(G792="","",G792/100*INDEX(Alimentos!$H$5:$H$40,MATCH($D792,Alimentos!$B$5:$B$40,0)))</f>
        <v/>
      </c>
      <c r="L792" s="24" t="str">
        <f aca="false">IF(OR(A792="",B792=""),"",Perfil!$C$13+(A792-1)*7+MATCH(B792,{"Lunes","Martes","Miércoles","Jueves","Viernes","Sábado","Domingo"},0)-1)</f>
        <v/>
      </c>
    </row>
    <row r="793" customFormat="false" ht="15" hidden="false" customHeight="false" outlineLevel="0" collapsed="false">
      <c r="G793" s="23" t="str">
        <f aca="false">IF(OR(D793="",E793=""),"",E793*IFERROR(VLOOKUP(F793,Perfil!$B$19:$C$24,2,0),1))</f>
        <v/>
      </c>
      <c r="H793" s="23" t="str">
        <f aca="false">IF(G793="","",G793/100*INDEX(Alimentos!$E$5:$E$40,MATCH($D793,Alimentos!$B$5:$B$40,0)))</f>
        <v/>
      </c>
      <c r="I793" s="23" t="str">
        <f aca="false">IF(G793="","",G793/100*INDEX(Alimentos!$F$5:$F$40,MATCH($D793,Alimentos!$B$5:$B$40,0)))</f>
        <v/>
      </c>
      <c r="J793" s="23" t="str">
        <f aca="false">IF(G793="","",G793/100*INDEX(Alimentos!$G$5:$G$40,MATCH($D793,Alimentos!$B$5:$B$40,0)))</f>
        <v/>
      </c>
      <c r="K793" s="23" t="str">
        <f aca="false">IF(G793="","",G793/100*INDEX(Alimentos!$H$5:$H$40,MATCH($D793,Alimentos!$B$5:$B$40,0)))</f>
        <v/>
      </c>
      <c r="L793" s="24" t="str">
        <f aca="false">IF(OR(A793="",B793=""),"",Perfil!$C$13+(A793-1)*7+MATCH(B793,{"Lunes","Martes","Miércoles","Jueves","Viernes","Sábado","Domingo"},0)-1)</f>
        <v/>
      </c>
    </row>
    <row r="794" customFormat="false" ht="15" hidden="false" customHeight="false" outlineLevel="0" collapsed="false">
      <c r="G794" s="23" t="str">
        <f aca="false">IF(OR(D794="",E794=""),"",E794*IFERROR(VLOOKUP(F794,Perfil!$B$19:$C$24,2,0),1))</f>
        <v/>
      </c>
      <c r="H794" s="23" t="str">
        <f aca="false">IF(G794="","",G794/100*INDEX(Alimentos!$E$5:$E$40,MATCH($D794,Alimentos!$B$5:$B$40,0)))</f>
        <v/>
      </c>
      <c r="I794" s="23" t="str">
        <f aca="false">IF(G794="","",G794/100*INDEX(Alimentos!$F$5:$F$40,MATCH($D794,Alimentos!$B$5:$B$40,0)))</f>
        <v/>
      </c>
      <c r="J794" s="23" t="str">
        <f aca="false">IF(G794="","",G794/100*INDEX(Alimentos!$G$5:$G$40,MATCH($D794,Alimentos!$B$5:$B$40,0)))</f>
        <v/>
      </c>
      <c r="K794" s="23" t="str">
        <f aca="false">IF(G794="","",G794/100*INDEX(Alimentos!$H$5:$H$40,MATCH($D794,Alimentos!$B$5:$B$40,0)))</f>
        <v/>
      </c>
      <c r="L794" s="24" t="str">
        <f aca="false">IF(OR(A794="",B794=""),"",Perfil!$C$13+(A794-1)*7+MATCH(B794,{"Lunes","Martes","Miércoles","Jueves","Viernes","Sábado","Domingo"},0)-1)</f>
        <v/>
      </c>
    </row>
    <row r="795" customFormat="false" ht="15" hidden="false" customHeight="false" outlineLevel="0" collapsed="false">
      <c r="G795" s="23" t="str">
        <f aca="false">IF(OR(D795="",E795=""),"",E795*IFERROR(VLOOKUP(F795,Perfil!$B$19:$C$24,2,0),1))</f>
        <v/>
      </c>
      <c r="H795" s="23" t="str">
        <f aca="false">IF(G795="","",G795/100*INDEX(Alimentos!$E$5:$E$40,MATCH($D795,Alimentos!$B$5:$B$40,0)))</f>
        <v/>
      </c>
      <c r="I795" s="23" t="str">
        <f aca="false">IF(G795="","",G795/100*INDEX(Alimentos!$F$5:$F$40,MATCH($D795,Alimentos!$B$5:$B$40,0)))</f>
        <v/>
      </c>
      <c r="J795" s="23" t="str">
        <f aca="false">IF(G795="","",G795/100*INDEX(Alimentos!$G$5:$G$40,MATCH($D795,Alimentos!$B$5:$B$40,0)))</f>
        <v/>
      </c>
      <c r="K795" s="23" t="str">
        <f aca="false">IF(G795="","",G795/100*INDEX(Alimentos!$H$5:$H$40,MATCH($D795,Alimentos!$B$5:$B$40,0)))</f>
        <v/>
      </c>
      <c r="L795" s="24" t="str">
        <f aca="false">IF(OR(A795="",B795=""),"",Perfil!$C$13+(A795-1)*7+MATCH(B795,{"Lunes","Martes","Miércoles","Jueves","Viernes","Sábado","Domingo"},0)-1)</f>
        <v/>
      </c>
    </row>
    <row r="796" customFormat="false" ht="15" hidden="false" customHeight="false" outlineLevel="0" collapsed="false">
      <c r="G796" s="23" t="str">
        <f aca="false">IF(OR(D796="",E796=""),"",E796*IFERROR(VLOOKUP(F796,Perfil!$B$19:$C$24,2,0),1))</f>
        <v/>
      </c>
      <c r="H796" s="23" t="str">
        <f aca="false">IF(G796="","",G796/100*INDEX(Alimentos!$E$5:$E$40,MATCH($D796,Alimentos!$B$5:$B$40,0)))</f>
        <v/>
      </c>
      <c r="I796" s="23" t="str">
        <f aca="false">IF(G796="","",G796/100*INDEX(Alimentos!$F$5:$F$40,MATCH($D796,Alimentos!$B$5:$B$40,0)))</f>
        <v/>
      </c>
      <c r="J796" s="23" t="str">
        <f aca="false">IF(G796="","",G796/100*INDEX(Alimentos!$G$5:$G$40,MATCH($D796,Alimentos!$B$5:$B$40,0)))</f>
        <v/>
      </c>
      <c r="K796" s="23" t="str">
        <f aca="false">IF(G796="","",G796/100*INDEX(Alimentos!$H$5:$H$40,MATCH($D796,Alimentos!$B$5:$B$40,0)))</f>
        <v/>
      </c>
      <c r="L796" s="24" t="str">
        <f aca="false">IF(OR(A796="",B796=""),"",Perfil!$C$13+(A796-1)*7+MATCH(B796,{"Lunes","Martes","Miércoles","Jueves","Viernes","Sábado","Domingo"},0)-1)</f>
        <v/>
      </c>
    </row>
    <row r="797" customFormat="false" ht="15" hidden="false" customHeight="false" outlineLevel="0" collapsed="false">
      <c r="G797" s="23" t="str">
        <f aca="false">IF(OR(D797="",E797=""),"",E797*IFERROR(VLOOKUP(F797,Perfil!$B$19:$C$24,2,0),1))</f>
        <v/>
      </c>
      <c r="H797" s="23" t="str">
        <f aca="false">IF(G797="","",G797/100*INDEX(Alimentos!$E$5:$E$40,MATCH($D797,Alimentos!$B$5:$B$40,0)))</f>
        <v/>
      </c>
      <c r="I797" s="23" t="str">
        <f aca="false">IF(G797="","",G797/100*INDEX(Alimentos!$F$5:$F$40,MATCH($D797,Alimentos!$B$5:$B$40,0)))</f>
        <v/>
      </c>
      <c r="J797" s="23" t="str">
        <f aca="false">IF(G797="","",G797/100*INDEX(Alimentos!$G$5:$G$40,MATCH($D797,Alimentos!$B$5:$B$40,0)))</f>
        <v/>
      </c>
      <c r="K797" s="23" t="str">
        <f aca="false">IF(G797="","",G797/100*INDEX(Alimentos!$H$5:$H$40,MATCH($D797,Alimentos!$B$5:$B$40,0)))</f>
        <v/>
      </c>
      <c r="L797" s="24" t="str">
        <f aca="false">IF(OR(A797="",B797=""),"",Perfil!$C$13+(A797-1)*7+MATCH(B797,{"Lunes","Martes","Miércoles","Jueves","Viernes","Sábado","Domingo"},0)-1)</f>
        <v/>
      </c>
    </row>
    <row r="798" customFormat="false" ht="15" hidden="false" customHeight="false" outlineLevel="0" collapsed="false">
      <c r="G798" s="23" t="str">
        <f aca="false">IF(OR(D798="",E798=""),"",E798*IFERROR(VLOOKUP(F798,Perfil!$B$19:$C$24,2,0),1))</f>
        <v/>
      </c>
      <c r="H798" s="23" t="str">
        <f aca="false">IF(G798="","",G798/100*INDEX(Alimentos!$E$5:$E$40,MATCH($D798,Alimentos!$B$5:$B$40,0)))</f>
        <v/>
      </c>
      <c r="I798" s="23" t="str">
        <f aca="false">IF(G798="","",G798/100*INDEX(Alimentos!$F$5:$F$40,MATCH($D798,Alimentos!$B$5:$B$40,0)))</f>
        <v/>
      </c>
      <c r="J798" s="23" t="str">
        <f aca="false">IF(G798="","",G798/100*INDEX(Alimentos!$G$5:$G$40,MATCH($D798,Alimentos!$B$5:$B$40,0)))</f>
        <v/>
      </c>
      <c r="K798" s="23" t="str">
        <f aca="false">IF(G798="","",G798/100*INDEX(Alimentos!$H$5:$H$40,MATCH($D798,Alimentos!$B$5:$B$40,0)))</f>
        <v/>
      </c>
      <c r="L798" s="24" t="str">
        <f aca="false">IF(OR(A798="",B798=""),"",Perfil!$C$13+(A798-1)*7+MATCH(B798,{"Lunes","Martes","Miércoles","Jueves","Viernes","Sábado","Domingo"},0)-1)</f>
        <v/>
      </c>
    </row>
    <row r="799" customFormat="false" ht="15" hidden="false" customHeight="false" outlineLevel="0" collapsed="false">
      <c r="G799" s="23" t="str">
        <f aca="false">IF(OR(D799="",E799=""),"",E799*IFERROR(VLOOKUP(F799,Perfil!$B$19:$C$24,2,0),1))</f>
        <v/>
      </c>
      <c r="H799" s="23" t="str">
        <f aca="false">IF(G799="","",G799/100*INDEX(Alimentos!$E$5:$E$40,MATCH($D799,Alimentos!$B$5:$B$40,0)))</f>
        <v/>
      </c>
      <c r="I799" s="23" t="str">
        <f aca="false">IF(G799="","",G799/100*INDEX(Alimentos!$F$5:$F$40,MATCH($D799,Alimentos!$B$5:$B$40,0)))</f>
        <v/>
      </c>
      <c r="J799" s="23" t="str">
        <f aca="false">IF(G799="","",G799/100*INDEX(Alimentos!$G$5:$G$40,MATCH($D799,Alimentos!$B$5:$B$40,0)))</f>
        <v/>
      </c>
      <c r="K799" s="23" t="str">
        <f aca="false">IF(G799="","",G799/100*INDEX(Alimentos!$H$5:$H$40,MATCH($D799,Alimentos!$B$5:$B$40,0)))</f>
        <v/>
      </c>
      <c r="L799" s="24" t="str">
        <f aca="false">IF(OR(A799="",B799=""),"",Perfil!$C$13+(A799-1)*7+MATCH(B799,{"Lunes","Martes","Miércoles","Jueves","Viernes","Sábado","Domingo"},0)-1)</f>
        <v/>
      </c>
    </row>
    <row r="800" customFormat="false" ht="15" hidden="false" customHeight="false" outlineLevel="0" collapsed="false">
      <c r="G800" s="23" t="str">
        <f aca="false">IF(OR(D800="",E800=""),"",E800*IFERROR(VLOOKUP(F800,Perfil!$B$19:$C$24,2,0),1))</f>
        <v/>
      </c>
      <c r="H800" s="23" t="str">
        <f aca="false">IF(G800="","",G800/100*INDEX(Alimentos!$E$5:$E$40,MATCH($D800,Alimentos!$B$5:$B$40,0)))</f>
        <v/>
      </c>
      <c r="I800" s="23" t="str">
        <f aca="false">IF(G800="","",G800/100*INDEX(Alimentos!$F$5:$F$40,MATCH($D800,Alimentos!$B$5:$B$40,0)))</f>
        <v/>
      </c>
      <c r="J800" s="23" t="str">
        <f aca="false">IF(G800="","",G800/100*INDEX(Alimentos!$G$5:$G$40,MATCH($D800,Alimentos!$B$5:$B$40,0)))</f>
        <v/>
      </c>
      <c r="K800" s="23" t="str">
        <f aca="false">IF(G800="","",G800/100*INDEX(Alimentos!$H$5:$H$40,MATCH($D800,Alimentos!$B$5:$B$40,0)))</f>
        <v/>
      </c>
      <c r="L800" s="24" t="str">
        <f aca="false">IF(OR(A800="",B800=""),"",Perfil!$C$13+(A800-1)*7+MATCH(B800,{"Lunes","Martes","Miércoles","Jueves","Viernes","Sábado","Domingo"},0)-1)</f>
        <v/>
      </c>
    </row>
    <row r="801" customFormat="false" ht="15" hidden="false" customHeight="false" outlineLevel="0" collapsed="false">
      <c r="G801" s="23" t="str">
        <f aca="false">IF(OR(D801="",E801=""),"",E801*IFERROR(VLOOKUP(F801,Perfil!$B$19:$C$24,2,0),1))</f>
        <v/>
      </c>
      <c r="H801" s="23" t="str">
        <f aca="false">IF(G801="","",G801/100*INDEX(Alimentos!$E$5:$E$40,MATCH($D801,Alimentos!$B$5:$B$40,0)))</f>
        <v/>
      </c>
      <c r="I801" s="23" t="str">
        <f aca="false">IF(G801="","",G801/100*INDEX(Alimentos!$F$5:$F$40,MATCH($D801,Alimentos!$B$5:$B$40,0)))</f>
        <v/>
      </c>
      <c r="J801" s="23" t="str">
        <f aca="false">IF(G801="","",G801/100*INDEX(Alimentos!$G$5:$G$40,MATCH($D801,Alimentos!$B$5:$B$40,0)))</f>
        <v/>
      </c>
      <c r="K801" s="23" t="str">
        <f aca="false">IF(G801="","",G801/100*INDEX(Alimentos!$H$5:$H$40,MATCH($D801,Alimentos!$B$5:$B$40,0)))</f>
        <v/>
      </c>
      <c r="L801" s="24" t="str">
        <f aca="false">IF(OR(A801="",B801=""),"",Perfil!$C$13+(A801-1)*7+MATCH(B801,{"Lunes","Martes","Miércoles","Jueves","Viernes","Sábado","Domingo"},0)-1)</f>
        <v/>
      </c>
    </row>
    <row r="802" customFormat="false" ht="15" hidden="false" customHeight="false" outlineLevel="0" collapsed="false">
      <c r="G802" s="23" t="str">
        <f aca="false">IF(OR(D802="",E802=""),"",E802*IFERROR(VLOOKUP(F802,Perfil!$B$19:$C$24,2,0),1))</f>
        <v/>
      </c>
      <c r="H802" s="23" t="str">
        <f aca="false">IF(G802="","",G802/100*INDEX(Alimentos!$E$5:$E$40,MATCH($D802,Alimentos!$B$5:$B$40,0)))</f>
        <v/>
      </c>
      <c r="I802" s="23" t="str">
        <f aca="false">IF(G802="","",G802/100*INDEX(Alimentos!$F$5:$F$40,MATCH($D802,Alimentos!$B$5:$B$40,0)))</f>
        <v/>
      </c>
      <c r="J802" s="23" t="str">
        <f aca="false">IF(G802="","",G802/100*INDEX(Alimentos!$G$5:$G$40,MATCH($D802,Alimentos!$B$5:$B$40,0)))</f>
        <v/>
      </c>
      <c r="K802" s="23" t="str">
        <f aca="false">IF(G802="","",G802/100*INDEX(Alimentos!$H$5:$H$40,MATCH($D802,Alimentos!$B$5:$B$40,0)))</f>
        <v/>
      </c>
      <c r="L802" s="24" t="str">
        <f aca="false">IF(OR(A802="",B802=""),"",Perfil!$C$13+(A802-1)*7+MATCH(B802,{"Lunes","Martes","Miércoles","Jueves","Viernes","Sábado","Domingo"},0)-1)</f>
        <v/>
      </c>
    </row>
    <row r="803" customFormat="false" ht="15" hidden="false" customHeight="false" outlineLevel="0" collapsed="false">
      <c r="G803" s="23" t="str">
        <f aca="false">IF(OR(D803="",E803=""),"",E803*IFERROR(VLOOKUP(F803,Perfil!$B$19:$C$24,2,0),1))</f>
        <v/>
      </c>
      <c r="H803" s="23" t="str">
        <f aca="false">IF(G803="","",G803/100*INDEX(Alimentos!$E$5:$E$40,MATCH($D803,Alimentos!$B$5:$B$40,0)))</f>
        <v/>
      </c>
      <c r="I803" s="23" t="str">
        <f aca="false">IF(G803="","",G803/100*INDEX(Alimentos!$F$5:$F$40,MATCH($D803,Alimentos!$B$5:$B$40,0)))</f>
        <v/>
      </c>
      <c r="J803" s="23" t="str">
        <f aca="false">IF(G803="","",G803/100*INDEX(Alimentos!$G$5:$G$40,MATCH($D803,Alimentos!$B$5:$B$40,0)))</f>
        <v/>
      </c>
      <c r="K803" s="23" t="str">
        <f aca="false">IF(G803="","",G803/100*INDEX(Alimentos!$H$5:$H$40,MATCH($D803,Alimentos!$B$5:$B$40,0)))</f>
        <v/>
      </c>
      <c r="L803" s="24" t="str">
        <f aca="false">IF(OR(A803="",B803=""),"",Perfil!$C$13+(A803-1)*7+MATCH(B803,{"Lunes","Martes","Miércoles","Jueves","Viernes","Sábado","Domingo"},0)-1)</f>
        <v/>
      </c>
    </row>
    <row r="804" customFormat="false" ht="15" hidden="false" customHeight="false" outlineLevel="0" collapsed="false">
      <c r="G804" s="23" t="str">
        <f aca="false">IF(OR(D804="",E804=""),"",E804*IFERROR(VLOOKUP(F804,Perfil!$B$19:$C$24,2,0),1))</f>
        <v/>
      </c>
      <c r="H804" s="23" t="str">
        <f aca="false">IF(G804="","",G804/100*INDEX(Alimentos!$E$5:$E$40,MATCH($D804,Alimentos!$B$5:$B$40,0)))</f>
        <v/>
      </c>
      <c r="I804" s="23" t="str">
        <f aca="false">IF(G804="","",G804/100*INDEX(Alimentos!$F$5:$F$40,MATCH($D804,Alimentos!$B$5:$B$40,0)))</f>
        <v/>
      </c>
      <c r="J804" s="23" t="str">
        <f aca="false">IF(G804="","",G804/100*INDEX(Alimentos!$G$5:$G$40,MATCH($D804,Alimentos!$B$5:$B$40,0)))</f>
        <v/>
      </c>
      <c r="K804" s="23" t="str">
        <f aca="false">IF(G804="","",G804/100*INDEX(Alimentos!$H$5:$H$40,MATCH($D804,Alimentos!$B$5:$B$40,0)))</f>
        <v/>
      </c>
      <c r="L804" s="24" t="str">
        <f aca="false">IF(OR(A804="",B804=""),"",Perfil!$C$13+(A804-1)*7+MATCH(B804,{"Lunes","Martes","Miércoles","Jueves","Viernes","Sábado","Domingo"},0)-1)</f>
        <v/>
      </c>
    </row>
    <row r="805" customFormat="false" ht="15" hidden="false" customHeight="false" outlineLevel="0" collapsed="false">
      <c r="G805" s="23" t="str">
        <f aca="false">IF(OR(D805="",E805=""),"",E805*IFERROR(VLOOKUP(F805,Perfil!$B$19:$C$24,2,0),1))</f>
        <v/>
      </c>
      <c r="H805" s="23" t="str">
        <f aca="false">IF(G805="","",G805/100*INDEX(Alimentos!$E$5:$E$40,MATCH($D805,Alimentos!$B$5:$B$40,0)))</f>
        <v/>
      </c>
      <c r="I805" s="23" t="str">
        <f aca="false">IF(G805="","",G805/100*INDEX(Alimentos!$F$5:$F$40,MATCH($D805,Alimentos!$B$5:$B$40,0)))</f>
        <v/>
      </c>
      <c r="J805" s="23" t="str">
        <f aca="false">IF(G805="","",G805/100*INDEX(Alimentos!$G$5:$G$40,MATCH($D805,Alimentos!$B$5:$B$40,0)))</f>
        <v/>
      </c>
      <c r="K805" s="23" t="str">
        <f aca="false">IF(G805="","",G805/100*INDEX(Alimentos!$H$5:$H$40,MATCH($D805,Alimentos!$B$5:$B$40,0)))</f>
        <v/>
      </c>
      <c r="L805" s="24" t="str">
        <f aca="false">IF(OR(A805="",B805=""),"",Perfil!$C$13+(A805-1)*7+MATCH(B805,{"Lunes","Martes","Miércoles","Jueves","Viernes","Sábado","Domingo"},0)-1)</f>
        <v/>
      </c>
    </row>
    <row r="806" customFormat="false" ht="15" hidden="false" customHeight="false" outlineLevel="0" collapsed="false">
      <c r="G806" s="23" t="str">
        <f aca="false">IF(OR(D806="",E806=""),"",E806*IFERROR(VLOOKUP(F806,Perfil!$B$19:$C$24,2,0),1))</f>
        <v/>
      </c>
      <c r="H806" s="23" t="str">
        <f aca="false">IF(G806="","",G806/100*INDEX(Alimentos!$E$5:$E$40,MATCH($D806,Alimentos!$B$5:$B$40,0)))</f>
        <v/>
      </c>
      <c r="I806" s="23" t="str">
        <f aca="false">IF(G806="","",G806/100*INDEX(Alimentos!$F$5:$F$40,MATCH($D806,Alimentos!$B$5:$B$40,0)))</f>
        <v/>
      </c>
      <c r="J806" s="23" t="str">
        <f aca="false">IF(G806="","",G806/100*INDEX(Alimentos!$G$5:$G$40,MATCH($D806,Alimentos!$B$5:$B$40,0)))</f>
        <v/>
      </c>
      <c r="K806" s="23" t="str">
        <f aca="false">IF(G806="","",G806/100*INDEX(Alimentos!$H$5:$H$40,MATCH($D806,Alimentos!$B$5:$B$40,0)))</f>
        <v/>
      </c>
      <c r="L806" s="24" t="str">
        <f aca="false">IF(OR(A806="",B806=""),"",Perfil!$C$13+(A806-1)*7+MATCH(B806,{"Lunes","Martes","Miércoles","Jueves","Viernes","Sábado","Domingo"},0)-1)</f>
        <v/>
      </c>
    </row>
    <row r="807" customFormat="false" ht="15" hidden="false" customHeight="false" outlineLevel="0" collapsed="false">
      <c r="G807" s="23" t="str">
        <f aca="false">IF(OR(D807="",E807=""),"",E807*IFERROR(VLOOKUP(F807,Perfil!$B$19:$C$24,2,0),1))</f>
        <v/>
      </c>
      <c r="H807" s="23" t="str">
        <f aca="false">IF(G807="","",G807/100*INDEX(Alimentos!$E$5:$E$40,MATCH($D807,Alimentos!$B$5:$B$40,0)))</f>
        <v/>
      </c>
      <c r="I807" s="23" t="str">
        <f aca="false">IF(G807="","",G807/100*INDEX(Alimentos!$F$5:$F$40,MATCH($D807,Alimentos!$B$5:$B$40,0)))</f>
        <v/>
      </c>
      <c r="J807" s="23" t="str">
        <f aca="false">IF(G807="","",G807/100*INDEX(Alimentos!$G$5:$G$40,MATCH($D807,Alimentos!$B$5:$B$40,0)))</f>
        <v/>
      </c>
      <c r="K807" s="23" t="str">
        <f aca="false">IF(G807="","",G807/100*INDEX(Alimentos!$H$5:$H$40,MATCH($D807,Alimentos!$B$5:$B$40,0)))</f>
        <v/>
      </c>
      <c r="L807" s="24" t="str">
        <f aca="false">IF(OR(A807="",B807=""),"",Perfil!$C$13+(A807-1)*7+MATCH(B807,{"Lunes","Martes","Miércoles","Jueves","Viernes","Sábado","Domingo"},0)-1)</f>
        <v/>
      </c>
    </row>
    <row r="808" customFormat="false" ht="15" hidden="false" customHeight="false" outlineLevel="0" collapsed="false">
      <c r="G808" s="23" t="str">
        <f aca="false">IF(OR(D808="",E808=""),"",E808*IFERROR(VLOOKUP(F808,Perfil!$B$19:$C$24,2,0),1))</f>
        <v/>
      </c>
      <c r="H808" s="23" t="str">
        <f aca="false">IF(G808="","",G808/100*INDEX(Alimentos!$E$5:$E$40,MATCH($D808,Alimentos!$B$5:$B$40,0)))</f>
        <v/>
      </c>
      <c r="I808" s="23" t="str">
        <f aca="false">IF(G808="","",G808/100*INDEX(Alimentos!$F$5:$F$40,MATCH($D808,Alimentos!$B$5:$B$40,0)))</f>
        <v/>
      </c>
      <c r="J808" s="23" t="str">
        <f aca="false">IF(G808="","",G808/100*INDEX(Alimentos!$G$5:$G$40,MATCH($D808,Alimentos!$B$5:$B$40,0)))</f>
        <v/>
      </c>
      <c r="K808" s="23" t="str">
        <f aca="false">IF(G808="","",G808/100*INDEX(Alimentos!$H$5:$H$40,MATCH($D808,Alimentos!$B$5:$B$40,0)))</f>
        <v/>
      </c>
      <c r="L808" s="24" t="str">
        <f aca="false">IF(OR(A808="",B808=""),"",Perfil!$C$13+(A808-1)*7+MATCH(B808,{"Lunes","Martes","Miércoles","Jueves","Viernes","Sábado","Domingo"},0)-1)</f>
        <v/>
      </c>
    </row>
    <row r="809" customFormat="false" ht="15" hidden="false" customHeight="false" outlineLevel="0" collapsed="false">
      <c r="G809" s="23" t="str">
        <f aca="false">IF(OR(D809="",E809=""),"",E809*IFERROR(VLOOKUP(F809,Perfil!$B$19:$C$24,2,0),1))</f>
        <v/>
      </c>
      <c r="H809" s="23" t="str">
        <f aca="false">IF(G809="","",G809/100*INDEX(Alimentos!$E$5:$E$40,MATCH($D809,Alimentos!$B$5:$B$40,0)))</f>
        <v/>
      </c>
      <c r="I809" s="23" t="str">
        <f aca="false">IF(G809="","",G809/100*INDEX(Alimentos!$F$5:$F$40,MATCH($D809,Alimentos!$B$5:$B$40,0)))</f>
        <v/>
      </c>
      <c r="J809" s="23" t="str">
        <f aca="false">IF(G809="","",G809/100*INDEX(Alimentos!$G$5:$G$40,MATCH($D809,Alimentos!$B$5:$B$40,0)))</f>
        <v/>
      </c>
      <c r="K809" s="23" t="str">
        <f aca="false">IF(G809="","",G809/100*INDEX(Alimentos!$H$5:$H$40,MATCH($D809,Alimentos!$B$5:$B$40,0)))</f>
        <v/>
      </c>
      <c r="L809" s="24" t="str">
        <f aca="false">IF(OR(A809="",B809=""),"",Perfil!$C$13+(A809-1)*7+MATCH(B809,{"Lunes","Martes","Miércoles","Jueves","Viernes","Sábado","Domingo"},0)-1)</f>
        <v/>
      </c>
    </row>
    <row r="810" customFormat="false" ht="15" hidden="false" customHeight="false" outlineLevel="0" collapsed="false">
      <c r="G810" s="23" t="str">
        <f aca="false">IF(OR(D810="",E810=""),"",E810*IFERROR(VLOOKUP(F810,Perfil!$B$19:$C$24,2,0),1))</f>
        <v/>
      </c>
      <c r="H810" s="23" t="str">
        <f aca="false">IF(G810="","",G810/100*INDEX(Alimentos!$E$5:$E$40,MATCH($D810,Alimentos!$B$5:$B$40,0)))</f>
        <v/>
      </c>
      <c r="I810" s="23" t="str">
        <f aca="false">IF(G810="","",G810/100*INDEX(Alimentos!$F$5:$F$40,MATCH($D810,Alimentos!$B$5:$B$40,0)))</f>
        <v/>
      </c>
      <c r="J810" s="23" t="str">
        <f aca="false">IF(G810="","",G810/100*INDEX(Alimentos!$G$5:$G$40,MATCH($D810,Alimentos!$B$5:$B$40,0)))</f>
        <v/>
      </c>
      <c r="K810" s="23" t="str">
        <f aca="false">IF(G810="","",G810/100*INDEX(Alimentos!$H$5:$H$40,MATCH($D810,Alimentos!$B$5:$B$40,0)))</f>
        <v/>
      </c>
      <c r="L810" s="24" t="str">
        <f aca="false">IF(OR(A810="",B810=""),"",Perfil!$C$13+(A810-1)*7+MATCH(B810,{"Lunes","Martes","Miércoles","Jueves","Viernes","Sábado","Domingo"},0)-1)</f>
        <v/>
      </c>
    </row>
    <row r="811" customFormat="false" ht="15" hidden="false" customHeight="false" outlineLevel="0" collapsed="false">
      <c r="G811" s="23" t="str">
        <f aca="false">IF(OR(D811="",E811=""),"",E811*IFERROR(VLOOKUP(F811,Perfil!$B$19:$C$24,2,0),1))</f>
        <v/>
      </c>
      <c r="H811" s="23" t="str">
        <f aca="false">IF(G811="","",G811/100*INDEX(Alimentos!$E$5:$E$40,MATCH($D811,Alimentos!$B$5:$B$40,0)))</f>
        <v/>
      </c>
      <c r="I811" s="23" t="str">
        <f aca="false">IF(G811="","",G811/100*INDEX(Alimentos!$F$5:$F$40,MATCH($D811,Alimentos!$B$5:$B$40,0)))</f>
        <v/>
      </c>
      <c r="J811" s="23" t="str">
        <f aca="false">IF(G811="","",G811/100*INDEX(Alimentos!$G$5:$G$40,MATCH($D811,Alimentos!$B$5:$B$40,0)))</f>
        <v/>
      </c>
      <c r="K811" s="23" t="str">
        <f aca="false">IF(G811="","",G811/100*INDEX(Alimentos!$H$5:$H$40,MATCH($D811,Alimentos!$B$5:$B$40,0)))</f>
        <v/>
      </c>
      <c r="L811" s="24" t="str">
        <f aca="false">IF(OR(A811="",B811=""),"",Perfil!$C$13+(A811-1)*7+MATCH(B811,{"Lunes","Martes","Miércoles","Jueves","Viernes","Sábado","Domingo"},0)-1)</f>
        <v/>
      </c>
    </row>
    <row r="812" customFormat="false" ht="15" hidden="false" customHeight="false" outlineLevel="0" collapsed="false">
      <c r="G812" s="23" t="str">
        <f aca="false">IF(OR(D812="",E812=""),"",E812*IFERROR(VLOOKUP(F812,Perfil!$B$19:$C$24,2,0),1))</f>
        <v/>
      </c>
      <c r="H812" s="23" t="str">
        <f aca="false">IF(G812="","",G812/100*INDEX(Alimentos!$E$5:$E$40,MATCH($D812,Alimentos!$B$5:$B$40,0)))</f>
        <v/>
      </c>
      <c r="I812" s="23" t="str">
        <f aca="false">IF(G812="","",G812/100*INDEX(Alimentos!$F$5:$F$40,MATCH($D812,Alimentos!$B$5:$B$40,0)))</f>
        <v/>
      </c>
      <c r="J812" s="23" t="str">
        <f aca="false">IF(G812="","",G812/100*INDEX(Alimentos!$G$5:$G$40,MATCH($D812,Alimentos!$B$5:$B$40,0)))</f>
        <v/>
      </c>
      <c r="K812" s="23" t="str">
        <f aca="false">IF(G812="","",G812/100*INDEX(Alimentos!$H$5:$H$40,MATCH($D812,Alimentos!$B$5:$B$40,0)))</f>
        <v/>
      </c>
      <c r="L812" s="24" t="str">
        <f aca="false">IF(OR(A812="",B812=""),"",Perfil!$C$13+(A812-1)*7+MATCH(B812,{"Lunes","Martes","Miércoles","Jueves","Viernes","Sábado","Domingo"},0)-1)</f>
        <v/>
      </c>
    </row>
    <row r="813" customFormat="false" ht="15" hidden="false" customHeight="false" outlineLevel="0" collapsed="false">
      <c r="G813" s="23" t="str">
        <f aca="false">IF(OR(D813="",E813=""),"",E813*IFERROR(VLOOKUP(F813,Perfil!$B$19:$C$24,2,0),1))</f>
        <v/>
      </c>
      <c r="H813" s="23" t="str">
        <f aca="false">IF(G813="","",G813/100*INDEX(Alimentos!$E$5:$E$40,MATCH($D813,Alimentos!$B$5:$B$40,0)))</f>
        <v/>
      </c>
      <c r="I813" s="23" t="str">
        <f aca="false">IF(G813="","",G813/100*INDEX(Alimentos!$F$5:$F$40,MATCH($D813,Alimentos!$B$5:$B$40,0)))</f>
        <v/>
      </c>
      <c r="J813" s="23" t="str">
        <f aca="false">IF(G813="","",G813/100*INDEX(Alimentos!$G$5:$G$40,MATCH($D813,Alimentos!$B$5:$B$40,0)))</f>
        <v/>
      </c>
      <c r="K813" s="23" t="str">
        <f aca="false">IF(G813="","",G813/100*INDEX(Alimentos!$H$5:$H$40,MATCH($D813,Alimentos!$B$5:$B$40,0)))</f>
        <v/>
      </c>
      <c r="L813" s="24" t="str">
        <f aca="false">IF(OR(A813="",B813=""),"",Perfil!$C$13+(A813-1)*7+MATCH(B813,{"Lunes","Martes","Miércoles","Jueves","Viernes","Sábado","Domingo"},0)-1)</f>
        <v/>
      </c>
    </row>
    <row r="814" customFormat="false" ht="15" hidden="false" customHeight="false" outlineLevel="0" collapsed="false">
      <c r="G814" s="23" t="str">
        <f aca="false">IF(OR(D814="",E814=""),"",E814*IFERROR(VLOOKUP(F814,Perfil!$B$19:$C$24,2,0),1))</f>
        <v/>
      </c>
      <c r="H814" s="23" t="str">
        <f aca="false">IF(G814="","",G814/100*INDEX(Alimentos!$E$5:$E$40,MATCH($D814,Alimentos!$B$5:$B$40,0)))</f>
        <v/>
      </c>
      <c r="I814" s="23" t="str">
        <f aca="false">IF(G814="","",G814/100*INDEX(Alimentos!$F$5:$F$40,MATCH($D814,Alimentos!$B$5:$B$40,0)))</f>
        <v/>
      </c>
      <c r="J814" s="23" t="str">
        <f aca="false">IF(G814="","",G814/100*INDEX(Alimentos!$G$5:$G$40,MATCH($D814,Alimentos!$B$5:$B$40,0)))</f>
        <v/>
      </c>
      <c r="K814" s="23" t="str">
        <f aca="false">IF(G814="","",G814/100*INDEX(Alimentos!$H$5:$H$40,MATCH($D814,Alimentos!$B$5:$B$40,0)))</f>
        <v/>
      </c>
      <c r="L814" s="24" t="str">
        <f aca="false">IF(OR(A814="",B814=""),"",Perfil!$C$13+(A814-1)*7+MATCH(B814,{"Lunes","Martes","Miércoles","Jueves","Viernes","Sábado","Domingo"},0)-1)</f>
        <v/>
      </c>
    </row>
    <row r="815" customFormat="false" ht="15" hidden="false" customHeight="false" outlineLevel="0" collapsed="false">
      <c r="G815" s="23" t="str">
        <f aca="false">IF(OR(D815="",E815=""),"",E815*IFERROR(VLOOKUP(F815,Perfil!$B$19:$C$24,2,0),1))</f>
        <v/>
      </c>
      <c r="H815" s="23" t="str">
        <f aca="false">IF(G815="","",G815/100*INDEX(Alimentos!$E$5:$E$40,MATCH($D815,Alimentos!$B$5:$B$40,0)))</f>
        <v/>
      </c>
      <c r="I815" s="23" t="str">
        <f aca="false">IF(G815="","",G815/100*INDEX(Alimentos!$F$5:$F$40,MATCH($D815,Alimentos!$B$5:$B$40,0)))</f>
        <v/>
      </c>
      <c r="J815" s="23" t="str">
        <f aca="false">IF(G815="","",G815/100*INDEX(Alimentos!$G$5:$G$40,MATCH($D815,Alimentos!$B$5:$B$40,0)))</f>
        <v/>
      </c>
      <c r="K815" s="23" t="str">
        <f aca="false">IF(G815="","",G815/100*INDEX(Alimentos!$H$5:$H$40,MATCH($D815,Alimentos!$B$5:$B$40,0)))</f>
        <v/>
      </c>
      <c r="L815" s="24" t="str">
        <f aca="false">IF(OR(A815="",B815=""),"",Perfil!$C$13+(A815-1)*7+MATCH(B815,{"Lunes","Martes","Miércoles","Jueves","Viernes","Sábado","Domingo"},0)-1)</f>
        <v/>
      </c>
    </row>
    <row r="816" customFormat="false" ht="15" hidden="false" customHeight="false" outlineLevel="0" collapsed="false">
      <c r="G816" s="23" t="str">
        <f aca="false">IF(OR(D816="",E816=""),"",E816*IFERROR(VLOOKUP(F816,Perfil!$B$19:$C$24,2,0),1))</f>
        <v/>
      </c>
      <c r="H816" s="23" t="str">
        <f aca="false">IF(G816="","",G816/100*INDEX(Alimentos!$E$5:$E$40,MATCH($D816,Alimentos!$B$5:$B$40,0)))</f>
        <v/>
      </c>
      <c r="I816" s="23" t="str">
        <f aca="false">IF(G816="","",G816/100*INDEX(Alimentos!$F$5:$F$40,MATCH($D816,Alimentos!$B$5:$B$40,0)))</f>
        <v/>
      </c>
      <c r="J816" s="23" t="str">
        <f aca="false">IF(G816="","",G816/100*INDEX(Alimentos!$G$5:$G$40,MATCH($D816,Alimentos!$B$5:$B$40,0)))</f>
        <v/>
      </c>
      <c r="K816" s="23" t="str">
        <f aca="false">IF(G816="","",G816/100*INDEX(Alimentos!$H$5:$H$40,MATCH($D816,Alimentos!$B$5:$B$40,0)))</f>
        <v/>
      </c>
      <c r="L816" s="24" t="str">
        <f aca="false">IF(OR(A816="",B816=""),"",Perfil!$C$13+(A816-1)*7+MATCH(B816,{"Lunes","Martes","Miércoles","Jueves","Viernes","Sábado","Domingo"},0)-1)</f>
        <v/>
      </c>
    </row>
    <row r="817" customFormat="false" ht="15" hidden="false" customHeight="false" outlineLevel="0" collapsed="false">
      <c r="G817" s="23" t="str">
        <f aca="false">IF(OR(D817="",E817=""),"",E817*IFERROR(VLOOKUP(F817,Perfil!$B$19:$C$24,2,0),1))</f>
        <v/>
      </c>
      <c r="H817" s="23" t="str">
        <f aca="false">IF(G817="","",G817/100*INDEX(Alimentos!$E$5:$E$40,MATCH($D817,Alimentos!$B$5:$B$40,0)))</f>
        <v/>
      </c>
      <c r="I817" s="23" t="str">
        <f aca="false">IF(G817="","",G817/100*INDEX(Alimentos!$F$5:$F$40,MATCH($D817,Alimentos!$B$5:$B$40,0)))</f>
        <v/>
      </c>
      <c r="J817" s="23" t="str">
        <f aca="false">IF(G817="","",G817/100*INDEX(Alimentos!$G$5:$G$40,MATCH($D817,Alimentos!$B$5:$B$40,0)))</f>
        <v/>
      </c>
      <c r="K817" s="23" t="str">
        <f aca="false">IF(G817="","",G817/100*INDEX(Alimentos!$H$5:$H$40,MATCH($D817,Alimentos!$B$5:$B$40,0)))</f>
        <v/>
      </c>
      <c r="L817" s="24" t="str">
        <f aca="false">IF(OR(A817="",B817=""),"",Perfil!$C$13+(A817-1)*7+MATCH(B817,{"Lunes","Martes","Miércoles","Jueves","Viernes","Sábado","Domingo"},0)-1)</f>
        <v/>
      </c>
    </row>
    <row r="818" customFormat="false" ht="15" hidden="false" customHeight="false" outlineLevel="0" collapsed="false">
      <c r="G818" s="23" t="str">
        <f aca="false">IF(OR(D818="",E818=""),"",E818*IFERROR(VLOOKUP(F818,Perfil!$B$19:$C$24,2,0),1))</f>
        <v/>
      </c>
      <c r="H818" s="23" t="str">
        <f aca="false">IF(G818="","",G818/100*INDEX(Alimentos!$E$5:$E$40,MATCH($D818,Alimentos!$B$5:$B$40,0)))</f>
        <v/>
      </c>
      <c r="I818" s="23" t="str">
        <f aca="false">IF(G818="","",G818/100*INDEX(Alimentos!$F$5:$F$40,MATCH($D818,Alimentos!$B$5:$B$40,0)))</f>
        <v/>
      </c>
      <c r="J818" s="23" t="str">
        <f aca="false">IF(G818="","",G818/100*INDEX(Alimentos!$G$5:$G$40,MATCH($D818,Alimentos!$B$5:$B$40,0)))</f>
        <v/>
      </c>
      <c r="K818" s="23" t="str">
        <f aca="false">IF(G818="","",G818/100*INDEX(Alimentos!$H$5:$H$40,MATCH($D818,Alimentos!$B$5:$B$40,0)))</f>
        <v/>
      </c>
      <c r="L818" s="24" t="str">
        <f aca="false">IF(OR(A818="",B818=""),"",Perfil!$C$13+(A818-1)*7+MATCH(B818,{"Lunes","Martes","Miércoles","Jueves","Viernes","Sábado","Domingo"},0)-1)</f>
        <v/>
      </c>
    </row>
    <row r="819" customFormat="false" ht="15" hidden="false" customHeight="false" outlineLevel="0" collapsed="false">
      <c r="G819" s="23" t="str">
        <f aca="false">IF(OR(D819="",E819=""),"",E819*IFERROR(VLOOKUP(F819,Perfil!$B$19:$C$24,2,0),1))</f>
        <v/>
      </c>
      <c r="H819" s="23" t="str">
        <f aca="false">IF(G819="","",G819/100*INDEX(Alimentos!$E$5:$E$40,MATCH($D819,Alimentos!$B$5:$B$40,0)))</f>
        <v/>
      </c>
      <c r="I819" s="23" t="str">
        <f aca="false">IF(G819="","",G819/100*INDEX(Alimentos!$F$5:$F$40,MATCH($D819,Alimentos!$B$5:$B$40,0)))</f>
        <v/>
      </c>
      <c r="J819" s="23" t="str">
        <f aca="false">IF(G819="","",G819/100*INDEX(Alimentos!$G$5:$G$40,MATCH($D819,Alimentos!$B$5:$B$40,0)))</f>
        <v/>
      </c>
      <c r="K819" s="23" t="str">
        <f aca="false">IF(G819="","",G819/100*INDEX(Alimentos!$H$5:$H$40,MATCH($D819,Alimentos!$B$5:$B$40,0)))</f>
        <v/>
      </c>
      <c r="L819" s="24" t="str">
        <f aca="false">IF(OR(A819="",B819=""),"",Perfil!$C$13+(A819-1)*7+MATCH(B819,{"Lunes","Martes","Miércoles","Jueves","Viernes","Sábado","Domingo"},0)-1)</f>
        <v/>
      </c>
    </row>
    <row r="820" customFormat="false" ht="15" hidden="false" customHeight="false" outlineLevel="0" collapsed="false">
      <c r="G820" s="23" t="str">
        <f aca="false">IF(OR(D820="",E820=""),"",E820*IFERROR(VLOOKUP(F820,Perfil!$B$19:$C$24,2,0),1))</f>
        <v/>
      </c>
      <c r="H820" s="23" t="str">
        <f aca="false">IF(G820="","",G820/100*INDEX(Alimentos!$E$5:$E$40,MATCH($D820,Alimentos!$B$5:$B$40,0)))</f>
        <v/>
      </c>
      <c r="I820" s="23" t="str">
        <f aca="false">IF(G820="","",G820/100*INDEX(Alimentos!$F$5:$F$40,MATCH($D820,Alimentos!$B$5:$B$40,0)))</f>
        <v/>
      </c>
      <c r="J820" s="23" t="str">
        <f aca="false">IF(G820="","",G820/100*INDEX(Alimentos!$G$5:$G$40,MATCH($D820,Alimentos!$B$5:$B$40,0)))</f>
        <v/>
      </c>
      <c r="K820" s="23" t="str">
        <f aca="false">IF(G820="","",G820/100*INDEX(Alimentos!$H$5:$H$40,MATCH($D820,Alimentos!$B$5:$B$40,0)))</f>
        <v/>
      </c>
      <c r="L820" s="24" t="str">
        <f aca="false">IF(OR(A820="",B820=""),"",Perfil!$C$13+(A820-1)*7+MATCH(B820,{"Lunes","Martes","Miércoles","Jueves","Viernes","Sábado","Domingo"},0)-1)</f>
        <v/>
      </c>
    </row>
    <row r="821" customFormat="false" ht="15" hidden="false" customHeight="false" outlineLevel="0" collapsed="false">
      <c r="G821" s="23" t="str">
        <f aca="false">IF(OR(D821="",E821=""),"",E821*IFERROR(VLOOKUP(F821,Perfil!$B$19:$C$24,2,0),1))</f>
        <v/>
      </c>
      <c r="H821" s="23" t="str">
        <f aca="false">IF(G821="","",G821/100*INDEX(Alimentos!$E$5:$E$40,MATCH($D821,Alimentos!$B$5:$B$40,0)))</f>
        <v/>
      </c>
      <c r="I821" s="23" t="str">
        <f aca="false">IF(G821="","",G821/100*INDEX(Alimentos!$F$5:$F$40,MATCH($D821,Alimentos!$B$5:$B$40,0)))</f>
        <v/>
      </c>
      <c r="J821" s="23" t="str">
        <f aca="false">IF(G821="","",G821/100*INDEX(Alimentos!$G$5:$G$40,MATCH($D821,Alimentos!$B$5:$B$40,0)))</f>
        <v/>
      </c>
      <c r="K821" s="23" t="str">
        <f aca="false">IF(G821="","",G821/100*INDEX(Alimentos!$H$5:$H$40,MATCH($D821,Alimentos!$B$5:$B$40,0)))</f>
        <v/>
      </c>
      <c r="L821" s="24" t="str">
        <f aca="false">IF(OR(A821="",B821=""),"",Perfil!$C$13+(A821-1)*7+MATCH(B821,{"Lunes","Martes","Miércoles","Jueves","Viernes","Sábado","Domingo"},0)-1)</f>
        <v/>
      </c>
    </row>
    <row r="822" customFormat="false" ht="15" hidden="false" customHeight="false" outlineLevel="0" collapsed="false">
      <c r="G822" s="23" t="str">
        <f aca="false">IF(OR(D822="",E822=""),"",E822*IFERROR(VLOOKUP(F822,Perfil!$B$19:$C$24,2,0),1))</f>
        <v/>
      </c>
      <c r="H822" s="23" t="str">
        <f aca="false">IF(G822="","",G822/100*INDEX(Alimentos!$E$5:$E$40,MATCH($D822,Alimentos!$B$5:$B$40,0)))</f>
        <v/>
      </c>
      <c r="I822" s="23" t="str">
        <f aca="false">IF(G822="","",G822/100*INDEX(Alimentos!$F$5:$F$40,MATCH($D822,Alimentos!$B$5:$B$40,0)))</f>
        <v/>
      </c>
      <c r="J822" s="23" t="str">
        <f aca="false">IF(G822="","",G822/100*INDEX(Alimentos!$G$5:$G$40,MATCH($D822,Alimentos!$B$5:$B$40,0)))</f>
        <v/>
      </c>
      <c r="K822" s="23" t="str">
        <f aca="false">IF(G822="","",G822/100*INDEX(Alimentos!$H$5:$H$40,MATCH($D822,Alimentos!$B$5:$B$40,0)))</f>
        <v/>
      </c>
      <c r="L822" s="24" t="str">
        <f aca="false">IF(OR(A822="",B822=""),"",Perfil!$C$13+(A822-1)*7+MATCH(B822,{"Lunes","Martes","Miércoles","Jueves","Viernes","Sábado","Domingo"},0)-1)</f>
        <v/>
      </c>
    </row>
    <row r="823" customFormat="false" ht="15" hidden="false" customHeight="false" outlineLevel="0" collapsed="false">
      <c r="G823" s="23" t="str">
        <f aca="false">IF(OR(D823="",E823=""),"",E823*IFERROR(VLOOKUP(F823,Perfil!$B$19:$C$24,2,0),1))</f>
        <v/>
      </c>
      <c r="H823" s="23" t="str">
        <f aca="false">IF(G823="","",G823/100*INDEX(Alimentos!$E$5:$E$40,MATCH($D823,Alimentos!$B$5:$B$40,0)))</f>
        <v/>
      </c>
      <c r="I823" s="23" t="str">
        <f aca="false">IF(G823="","",G823/100*INDEX(Alimentos!$F$5:$F$40,MATCH($D823,Alimentos!$B$5:$B$40,0)))</f>
        <v/>
      </c>
      <c r="J823" s="23" t="str">
        <f aca="false">IF(G823="","",G823/100*INDEX(Alimentos!$G$5:$G$40,MATCH($D823,Alimentos!$B$5:$B$40,0)))</f>
        <v/>
      </c>
      <c r="K823" s="23" t="str">
        <f aca="false">IF(G823="","",G823/100*INDEX(Alimentos!$H$5:$H$40,MATCH($D823,Alimentos!$B$5:$B$40,0)))</f>
        <v/>
      </c>
      <c r="L823" s="24" t="str">
        <f aca="false">IF(OR(A823="",B823=""),"",Perfil!$C$13+(A823-1)*7+MATCH(B823,{"Lunes","Martes","Miércoles","Jueves","Viernes","Sábado","Domingo"},0)-1)</f>
        <v/>
      </c>
    </row>
    <row r="824" customFormat="false" ht="15" hidden="false" customHeight="false" outlineLevel="0" collapsed="false">
      <c r="G824" s="23" t="str">
        <f aca="false">IF(OR(D824="",E824=""),"",E824*IFERROR(VLOOKUP(F824,Perfil!$B$19:$C$24,2,0),1))</f>
        <v/>
      </c>
      <c r="H824" s="23" t="str">
        <f aca="false">IF(G824="","",G824/100*INDEX(Alimentos!$E$5:$E$40,MATCH($D824,Alimentos!$B$5:$B$40,0)))</f>
        <v/>
      </c>
      <c r="I824" s="23" t="str">
        <f aca="false">IF(G824="","",G824/100*INDEX(Alimentos!$F$5:$F$40,MATCH($D824,Alimentos!$B$5:$B$40,0)))</f>
        <v/>
      </c>
      <c r="J824" s="23" t="str">
        <f aca="false">IF(G824="","",G824/100*INDEX(Alimentos!$G$5:$G$40,MATCH($D824,Alimentos!$B$5:$B$40,0)))</f>
        <v/>
      </c>
      <c r="K824" s="23" t="str">
        <f aca="false">IF(G824="","",G824/100*INDEX(Alimentos!$H$5:$H$40,MATCH($D824,Alimentos!$B$5:$B$40,0)))</f>
        <v/>
      </c>
      <c r="L824" s="24" t="str">
        <f aca="false">IF(OR(A824="",B824=""),"",Perfil!$C$13+(A824-1)*7+MATCH(B824,{"Lunes","Martes","Miércoles","Jueves","Viernes","Sábado","Domingo"},0)-1)</f>
        <v/>
      </c>
    </row>
    <row r="825" customFormat="false" ht="15" hidden="false" customHeight="false" outlineLevel="0" collapsed="false">
      <c r="G825" s="23" t="str">
        <f aca="false">IF(OR(D825="",E825=""),"",E825*IFERROR(VLOOKUP(F825,Perfil!$B$19:$C$24,2,0),1))</f>
        <v/>
      </c>
      <c r="H825" s="23" t="str">
        <f aca="false">IF(G825="","",G825/100*INDEX(Alimentos!$E$5:$E$40,MATCH($D825,Alimentos!$B$5:$B$40,0)))</f>
        <v/>
      </c>
      <c r="I825" s="23" t="str">
        <f aca="false">IF(G825="","",G825/100*INDEX(Alimentos!$F$5:$F$40,MATCH($D825,Alimentos!$B$5:$B$40,0)))</f>
        <v/>
      </c>
      <c r="J825" s="23" t="str">
        <f aca="false">IF(G825="","",G825/100*INDEX(Alimentos!$G$5:$G$40,MATCH($D825,Alimentos!$B$5:$B$40,0)))</f>
        <v/>
      </c>
      <c r="K825" s="23" t="str">
        <f aca="false">IF(G825="","",G825/100*INDEX(Alimentos!$H$5:$H$40,MATCH($D825,Alimentos!$B$5:$B$40,0)))</f>
        <v/>
      </c>
      <c r="L825" s="24" t="str">
        <f aca="false">IF(OR(A825="",B825=""),"",Perfil!$C$13+(A825-1)*7+MATCH(B825,{"Lunes","Martes","Miércoles","Jueves","Viernes","Sábado","Domingo"},0)-1)</f>
        <v/>
      </c>
    </row>
    <row r="826" customFormat="false" ht="15" hidden="false" customHeight="false" outlineLevel="0" collapsed="false">
      <c r="G826" s="23" t="str">
        <f aca="false">IF(OR(D826="",E826=""),"",E826*IFERROR(VLOOKUP(F826,Perfil!$B$19:$C$24,2,0),1))</f>
        <v/>
      </c>
      <c r="H826" s="23" t="str">
        <f aca="false">IF(G826="","",G826/100*INDEX(Alimentos!$E$5:$E$40,MATCH($D826,Alimentos!$B$5:$B$40,0)))</f>
        <v/>
      </c>
      <c r="I826" s="23" t="str">
        <f aca="false">IF(G826="","",G826/100*INDEX(Alimentos!$F$5:$F$40,MATCH($D826,Alimentos!$B$5:$B$40,0)))</f>
        <v/>
      </c>
      <c r="J826" s="23" t="str">
        <f aca="false">IF(G826="","",G826/100*INDEX(Alimentos!$G$5:$G$40,MATCH($D826,Alimentos!$B$5:$B$40,0)))</f>
        <v/>
      </c>
      <c r="K826" s="23" t="str">
        <f aca="false">IF(G826="","",G826/100*INDEX(Alimentos!$H$5:$H$40,MATCH($D826,Alimentos!$B$5:$B$40,0)))</f>
        <v/>
      </c>
      <c r="L826" s="24" t="str">
        <f aca="false">IF(OR(A826="",B826=""),"",Perfil!$C$13+(A826-1)*7+MATCH(B826,{"Lunes","Martes","Miércoles","Jueves","Viernes","Sábado","Domingo"},0)-1)</f>
        <v/>
      </c>
    </row>
    <row r="827" customFormat="false" ht="15" hidden="false" customHeight="false" outlineLevel="0" collapsed="false">
      <c r="G827" s="23" t="str">
        <f aca="false">IF(OR(D827="",E827=""),"",E827*IFERROR(VLOOKUP(F827,Perfil!$B$19:$C$24,2,0),1))</f>
        <v/>
      </c>
      <c r="H827" s="23" t="str">
        <f aca="false">IF(G827="","",G827/100*INDEX(Alimentos!$E$5:$E$40,MATCH($D827,Alimentos!$B$5:$B$40,0)))</f>
        <v/>
      </c>
      <c r="I827" s="23" t="str">
        <f aca="false">IF(G827="","",G827/100*INDEX(Alimentos!$F$5:$F$40,MATCH($D827,Alimentos!$B$5:$B$40,0)))</f>
        <v/>
      </c>
      <c r="J827" s="23" t="str">
        <f aca="false">IF(G827="","",G827/100*INDEX(Alimentos!$G$5:$G$40,MATCH($D827,Alimentos!$B$5:$B$40,0)))</f>
        <v/>
      </c>
      <c r="K827" s="23" t="str">
        <f aca="false">IF(G827="","",G827/100*INDEX(Alimentos!$H$5:$H$40,MATCH($D827,Alimentos!$B$5:$B$40,0)))</f>
        <v/>
      </c>
      <c r="L827" s="24" t="str">
        <f aca="false">IF(OR(A827="",B827=""),"",Perfil!$C$13+(A827-1)*7+MATCH(B827,{"Lunes","Martes","Miércoles","Jueves","Viernes","Sábado","Domingo"},0)-1)</f>
        <v/>
      </c>
    </row>
    <row r="828" customFormat="false" ht="15" hidden="false" customHeight="false" outlineLevel="0" collapsed="false">
      <c r="G828" s="23" t="str">
        <f aca="false">IF(OR(D828="",E828=""),"",E828*IFERROR(VLOOKUP(F828,Perfil!$B$19:$C$24,2,0),1))</f>
        <v/>
      </c>
      <c r="H828" s="23" t="str">
        <f aca="false">IF(G828="","",G828/100*INDEX(Alimentos!$E$5:$E$40,MATCH($D828,Alimentos!$B$5:$B$40,0)))</f>
        <v/>
      </c>
      <c r="I828" s="23" t="str">
        <f aca="false">IF(G828="","",G828/100*INDEX(Alimentos!$F$5:$F$40,MATCH($D828,Alimentos!$B$5:$B$40,0)))</f>
        <v/>
      </c>
      <c r="J828" s="23" t="str">
        <f aca="false">IF(G828="","",G828/100*INDEX(Alimentos!$G$5:$G$40,MATCH($D828,Alimentos!$B$5:$B$40,0)))</f>
        <v/>
      </c>
      <c r="K828" s="23" t="str">
        <f aca="false">IF(G828="","",G828/100*INDEX(Alimentos!$H$5:$H$40,MATCH($D828,Alimentos!$B$5:$B$40,0)))</f>
        <v/>
      </c>
      <c r="L828" s="24" t="str">
        <f aca="false">IF(OR(A828="",B828=""),"",Perfil!$C$13+(A828-1)*7+MATCH(B828,{"Lunes","Martes","Miércoles","Jueves","Viernes","Sábado","Domingo"},0)-1)</f>
        <v/>
      </c>
    </row>
    <row r="829" customFormat="false" ht="15" hidden="false" customHeight="false" outlineLevel="0" collapsed="false">
      <c r="G829" s="23" t="str">
        <f aca="false">IF(OR(D829="",E829=""),"",E829*IFERROR(VLOOKUP(F829,Perfil!$B$19:$C$24,2,0),1))</f>
        <v/>
      </c>
      <c r="H829" s="23" t="str">
        <f aca="false">IF(G829="","",G829/100*INDEX(Alimentos!$E$5:$E$40,MATCH($D829,Alimentos!$B$5:$B$40,0)))</f>
        <v/>
      </c>
      <c r="I829" s="23" t="str">
        <f aca="false">IF(G829="","",G829/100*INDEX(Alimentos!$F$5:$F$40,MATCH($D829,Alimentos!$B$5:$B$40,0)))</f>
        <v/>
      </c>
      <c r="J829" s="23" t="str">
        <f aca="false">IF(G829="","",G829/100*INDEX(Alimentos!$G$5:$G$40,MATCH($D829,Alimentos!$B$5:$B$40,0)))</f>
        <v/>
      </c>
      <c r="K829" s="23" t="str">
        <f aca="false">IF(G829="","",G829/100*INDEX(Alimentos!$H$5:$H$40,MATCH($D829,Alimentos!$B$5:$B$40,0)))</f>
        <v/>
      </c>
      <c r="L829" s="24" t="str">
        <f aca="false">IF(OR(A829="",B829=""),"",Perfil!$C$13+(A829-1)*7+MATCH(B829,{"Lunes","Martes","Miércoles","Jueves","Viernes","Sábado","Domingo"},0)-1)</f>
        <v/>
      </c>
    </row>
    <row r="830" customFormat="false" ht="15" hidden="false" customHeight="false" outlineLevel="0" collapsed="false">
      <c r="G830" s="23" t="str">
        <f aca="false">IF(OR(D830="",E830=""),"",E830*IFERROR(VLOOKUP(F830,Perfil!$B$19:$C$24,2,0),1))</f>
        <v/>
      </c>
      <c r="H830" s="23" t="str">
        <f aca="false">IF(G830="","",G830/100*INDEX(Alimentos!$E$5:$E$40,MATCH($D830,Alimentos!$B$5:$B$40,0)))</f>
        <v/>
      </c>
      <c r="I830" s="23" t="str">
        <f aca="false">IF(G830="","",G830/100*INDEX(Alimentos!$F$5:$F$40,MATCH($D830,Alimentos!$B$5:$B$40,0)))</f>
        <v/>
      </c>
      <c r="J830" s="23" t="str">
        <f aca="false">IF(G830="","",G830/100*INDEX(Alimentos!$G$5:$G$40,MATCH($D830,Alimentos!$B$5:$B$40,0)))</f>
        <v/>
      </c>
      <c r="K830" s="23" t="str">
        <f aca="false">IF(G830="","",G830/100*INDEX(Alimentos!$H$5:$H$40,MATCH($D830,Alimentos!$B$5:$B$40,0)))</f>
        <v/>
      </c>
      <c r="L830" s="24" t="str">
        <f aca="false">IF(OR(A830="",B830=""),"",Perfil!$C$13+(A830-1)*7+MATCH(B830,{"Lunes","Martes","Miércoles","Jueves","Viernes","Sábado","Domingo"},0)-1)</f>
        <v/>
      </c>
    </row>
    <row r="831" customFormat="false" ht="15" hidden="false" customHeight="false" outlineLevel="0" collapsed="false">
      <c r="G831" s="23" t="str">
        <f aca="false">IF(OR(D831="",E831=""),"",E831*IFERROR(VLOOKUP(F831,Perfil!$B$19:$C$24,2,0),1))</f>
        <v/>
      </c>
      <c r="H831" s="23" t="str">
        <f aca="false">IF(G831="","",G831/100*INDEX(Alimentos!$E$5:$E$40,MATCH($D831,Alimentos!$B$5:$B$40,0)))</f>
        <v/>
      </c>
      <c r="I831" s="23" t="str">
        <f aca="false">IF(G831="","",G831/100*INDEX(Alimentos!$F$5:$F$40,MATCH($D831,Alimentos!$B$5:$B$40,0)))</f>
        <v/>
      </c>
      <c r="J831" s="23" t="str">
        <f aca="false">IF(G831="","",G831/100*INDEX(Alimentos!$G$5:$G$40,MATCH($D831,Alimentos!$B$5:$B$40,0)))</f>
        <v/>
      </c>
      <c r="K831" s="23" t="str">
        <f aca="false">IF(G831="","",G831/100*INDEX(Alimentos!$H$5:$H$40,MATCH($D831,Alimentos!$B$5:$B$40,0)))</f>
        <v/>
      </c>
      <c r="L831" s="24" t="str">
        <f aca="false">IF(OR(A831="",B831=""),"",Perfil!$C$13+(A831-1)*7+MATCH(B831,{"Lunes","Martes","Miércoles","Jueves","Viernes","Sábado","Domingo"},0)-1)</f>
        <v/>
      </c>
    </row>
    <row r="832" customFormat="false" ht="15" hidden="false" customHeight="false" outlineLevel="0" collapsed="false">
      <c r="G832" s="23" t="str">
        <f aca="false">IF(OR(D832="",E832=""),"",E832*IFERROR(VLOOKUP(F832,Perfil!$B$19:$C$24,2,0),1))</f>
        <v/>
      </c>
      <c r="H832" s="23" t="str">
        <f aca="false">IF(G832="","",G832/100*INDEX(Alimentos!$E$5:$E$40,MATCH($D832,Alimentos!$B$5:$B$40,0)))</f>
        <v/>
      </c>
      <c r="I832" s="23" t="str">
        <f aca="false">IF(G832="","",G832/100*INDEX(Alimentos!$F$5:$F$40,MATCH($D832,Alimentos!$B$5:$B$40,0)))</f>
        <v/>
      </c>
      <c r="J832" s="23" t="str">
        <f aca="false">IF(G832="","",G832/100*INDEX(Alimentos!$G$5:$G$40,MATCH($D832,Alimentos!$B$5:$B$40,0)))</f>
        <v/>
      </c>
      <c r="K832" s="23" t="str">
        <f aca="false">IF(G832="","",G832/100*INDEX(Alimentos!$H$5:$H$40,MATCH($D832,Alimentos!$B$5:$B$40,0)))</f>
        <v/>
      </c>
      <c r="L832" s="24" t="str">
        <f aca="false">IF(OR(A832="",B832=""),"",Perfil!$C$13+(A832-1)*7+MATCH(B832,{"Lunes","Martes","Miércoles","Jueves","Viernes","Sábado","Domingo"},0)-1)</f>
        <v/>
      </c>
    </row>
    <row r="833" customFormat="false" ht="15" hidden="false" customHeight="false" outlineLevel="0" collapsed="false">
      <c r="G833" s="23" t="str">
        <f aca="false">IF(OR(D833="",E833=""),"",E833*IFERROR(VLOOKUP(F833,Perfil!$B$19:$C$24,2,0),1))</f>
        <v/>
      </c>
      <c r="H833" s="23" t="str">
        <f aca="false">IF(G833="","",G833/100*INDEX(Alimentos!$E$5:$E$40,MATCH($D833,Alimentos!$B$5:$B$40,0)))</f>
        <v/>
      </c>
      <c r="I833" s="23" t="str">
        <f aca="false">IF(G833="","",G833/100*INDEX(Alimentos!$F$5:$F$40,MATCH($D833,Alimentos!$B$5:$B$40,0)))</f>
        <v/>
      </c>
      <c r="J833" s="23" t="str">
        <f aca="false">IF(G833="","",G833/100*INDEX(Alimentos!$G$5:$G$40,MATCH($D833,Alimentos!$B$5:$B$40,0)))</f>
        <v/>
      </c>
      <c r="K833" s="23" t="str">
        <f aca="false">IF(G833="","",G833/100*INDEX(Alimentos!$H$5:$H$40,MATCH($D833,Alimentos!$B$5:$B$40,0)))</f>
        <v/>
      </c>
      <c r="L833" s="24" t="str">
        <f aca="false">IF(OR(A833="",B833=""),"",Perfil!$C$13+(A833-1)*7+MATCH(B833,{"Lunes","Martes","Miércoles","Jueves","Viernes","Sábado","Domingo"},0)-1)</f>
        <v/>
      </c>
    </row>
    <row r="834" customFormat="false" ht="15" hidden="false" customHeight="false" outlineLevel="0" collapsed="false">
      <c r="G834" s="23" t="str">
        <f aca="false">IF(OR(D834="",E834=""),"",E834*IFERROR(VLOOKUP(F834,Perfil!$B$19:$C$24,2,0),1))</f>
        <v/>
      </c>
      <c r="H834" s="23" t="str">
        <f aca="false">IF(G834="","",G834/100*INDEX(Alimentos!$E$5:$E$40,MATCH($D834,Alimentos!$B$5:$B$40,0)))</f>
        <v/>
      </c>
      <c r="I834" s="23" t="str">
        <f aca="false">IF(G834="","",G834/100*INDEX(Alimentos!$F$5:$F$40,MATCH($D834,Alimentos!$B$5:$B$40,0)))</f>
        <v/>
      </c>
      <c r="J834" s="23" t="str">
        <f aca="false">IF(G834="","",G834/100*INDEX(Alimentos!$G$5:$G$40,MATCH($D834,Alimentos!$B$5:$B$40,0)))</f>
        <v/>
      </c>
      <c r="K834" s="23" t="str">
        <f aca="false">IF(G834="","",G834/100*INDEX(Alimentos!$H$5:$H$40,MATCH($D834,Alimentos!$B$5:$B$40,0)))</f>
        <v/>
      </c>
      <c r="L834" s="24" t="str">
        <f aca="false">IF(OR(A834="",B834=""),"",Perfil!$C$13+(A834-1)*7+MATCH(B834,{"Lunes","Martes","Miércoles","Jueves","Viernes","Sábado","Domingo"},0)-1)</f>
        <v/>
      </c>
    </row>
    <row r="835" customFormat="false" ht="15" hidden="false" customHeight="false" outlineLevel="0" collapsed="false">
      <c r="G835" s="23" t="str">
        <f aca="false">IF(OR(D835="",E835=""),"",E835*IFERROR(VLOOKUP(F835,Perfil!$B$19:$C$24,2,0),1))</f>
        <v/>
      </c>
      <c r="H835" s="23" t="str">
        <f aca="false">IF(G835="","",G835/100*INDEX(Alimentos!$E$5:$E$40,MATCH($D835,Alimentos!$B$5:$B$40,0)))</f>
        <v/>
      </c>
      <c r="I835" s="23" t="str">
        <f aca="false">IF(G835="","",G835/100*INDEX(Alimentos!$F$5:$F$40,MATCH($D835,Alimentos!$B$5:$B$40,0)))</f>
        <v/>
      </c>
      <c r="J835" s="23" t="str">
        <f aca="false">IF(G835="","",G835/100*INDEX(Alimentos!$G$5:$G$40,MATCH($D835,Alimentos!$B$5:$B$40,0)))</f>
        <v/>
      </c>
      <c r="K835" s="23" t="str">
        <f aca="false">IF(G835="","",G835/100*INDEX(Alimentos!$H$5:$H$40,MATCH($D835,Alimentos!$B$5:$B$40,0)))</f>
        <v/>
      </c>
      <c r="L835" s="24" t="str">
        <f aca="false">IF(OR(A835="",B835=""),"",Perfil!$C$13+(A835-1)*7+MATCH(B835,{"Lunes","Martes","Miércoles","Jueves","Viernes","Sábado","Domingo"},0)-1)</f>
        <v/>
      </c>
    </row>
    <row r="836" customFormat="false" ht="15" hidden="false" customHeight="false" outlineLevel="0" collapsed="false">
      <c r="G836" s="23" t="str">
        <f aca="false">IF(OR(D836="",E836=""),"",E836*IFERROR(VLOOKUP(F836,Perfil!$B$19:$C$24,2,0),1))</f>
        <v/>
      </c>
      <c r="H836" s="23" t="str">
        <f aca="false">IF(G836="","",G836/100*INDEX(Alimentos!$E$5:$E$40,MATCH($D836,Alimentos!$B$5:$B$40,0)))</f>
        <v/>
      </c>
      <c r="I836" s="23" t="str">
        <f aca="false">IF(G836="","",G836/100*INDEX(Alimentos!$F$5:$F$40,MATCH($D836,Alimentos!$B$5:$B$40,0)))</f>
        <v/>
      </c>
      <c r="J836" s="23" t="str">
        <f aca="false">IF(G836="","",G836/100*INDEX(Alimentos!$G$5:$G$40,MATCH($D836,Alimentos!$B$5:$B$40,0)))</f>
        <v/>
      </c>
      <c r="K836" s="23" t="str">
        <f aca="false">IF(G836="","",G836/100*INDEX(Alimentos!$H$5:$H$40,MATCH($D836,Alimentos!$B$5:$B$40,0)))</f>
        <v/>
      </c>
      <c r="L836" s="24" t="str">
        <f aca="false">IF(OR(A836="",B836=""),"",Perfil!$C$13+(A836-1)*7+MATCH(B836,{"Lunes","Martes","Miércoles","Jueves","Viernes","Sábado","Domingo"},0)-1)</f>
        <v/>
      </c>
    </row>
    <row r="837" customFormat="false" ht="15" hidden="false" customHeight="false" outlineLevel="0" collapsed="false">
      <c r="G837" s="23" t="str">
        <f aca="false">IF(OR(D837="",E837=""),"",E837*IFERROR(VLOOKUP(F837,Perfil!$B$19:$C$24,2,0),1))</f>
        <v/>
      </c>
      <c r="H837" s="23" t="str">
        <f aca="false">IF(G837="","",G837/100*INDEX(Alimentos!$E$5:$E$40,MATCH($D837,Alimentos!$B$5:$B$40,0)))</f>
        <v/>
      </c>
      <c r="I837" s="23" t="str">
        <f aca="false">IF(G837="","",G837/100*INDEX(Alimentos!$F$5:$F$40,MATCH($D837,Alimentos!$B$5:$B$40,0)))</f>
        <v/>
      </c>
      <c r="J837" s="23" t="str">
        <f aca="false">IF(G837="","",G837/100*INDEX(Alimentos!$G$5:$G$40,MATCH($D837,Alimentos!$B$5:$B$40,0)))</f>
        <v/>
      </c>
      <c r="K837" s="23" t="str">
        <f aca="false">IF(G837="","",G837/100*INDEX(Alimentos!$H$5:$H$40,MATCH($D837,Alimentos!$B$5:$B$40,0)))</f>
        <v/>
      </c>
      <c r="L837" s="24" t="str">
        <f aca="false">IF(OR(A837="",B837=""),"",Perfil!$C$13+(A837-1)*7+MATCH(B837,{"Lunes","Martes","Miércoles","Jueves","Viernes","Sábado","Domingo"},0)-1)</f>
        <v/>
      </c>
    </row>
    <row r="838" customFormat="false" ht="15" hidden="false" customHeight="false" outlineLevel="0" collapsed="false">
      <c r="G838" s="23" t="str">
        <f aca="false">IF(OR(D838="",E838=""),"",E838*IFERROR(VLOOKUP(F838,Perfil!$B$19:$C$24,2,0),1))</f>
        <v/>
      </c>
      <c r="H838" s="23" t="str">
        <f aca="false">IF(G838="","",G838/100*INDEX(Alimentos!$E$5:$E$40,MATCH($D838,Alimentos!$B$5:$B$40,0)))</f>
        <v/>
      </c>
      <c r="I838" s="23" t="str">
        <f aca="false">IF(G838="","",G838/100*INDEX(Alimentos!$F$5:$F$40,MATCH($D838,Alimentos!$B$5:$B$40,0)))</f>
        <v/>
      </c>
      <c r="J838" s="23" t="str">
        <f aca="false">IF(G838="","",G838/100*INDEX(Alimentos!$G$5:$G$40,MATCH($D838,Alimentos!$B$5:$B$40,0)))</f>
        <v/>
      </c>
      <c r="K838" s="23" t="str">
        <f aca="false">IF(G838="","",G838/100*INDEX(Alimentos!$H$5:$H$40,MATCH($D838,Alimentos!$B$5:$B$40,0)))</f>
        <v/>
      </c>
      <c r="L838" s="24" t="str">
        <f aca="false">IF(OR(A838="",B838=""),"",Perfil!$C$13+(A838-1)*7+MATCH(B838,{"Lunes","Martes","Miércoles","Jueves","Viernes","Sábado","Domingo"},0)-1)</f>
        <v/>
      </c>
    </row>
    <row r="839" customFormat="false" ht="15" hidden="false" customHeight="false" outlineLevel="0" collapsed="false">
      <c r="G839" s="23" t="str">
        <f aca="false">IF(OR(D839="",E839=""),"",E839*IFERROR(VLOOKUP(F839,Perfil!$B$19:$C$24,2,0),1))</f>
        <v/>
      </c>
      <c r="H839" s="23" t="str">
        <f aca="false">IF(G839="","",G839/100*INDEX(Alimentos!$E$5:$E$40,MATCH($D839,Alimentos!$B$5:$B$40,0)))</f>
        <v/>
      </c>
      <c r="I839" s="23" t="str">
        <f aca="false">IF(G839="","",G839/100*INDEX(Alimentos!$F$5:$F$40,MATCH($D839,Alimentos!$B$5:$B$40,0)))</f>
        <v/>
      </c>
      <c r="J839" s="23" t="str">
        <f aca="false">IF(G839="","",G839/100*INDEX(Alimentos!$G$5:$G$40,MATCH($D839,Alimentos!$B$5:$B$40,0)))</f>
        <v/>
      </c>
      <c r="K839" s="23" t="str">
        <f aca="false">IF(G839="","",G839/100*INDEX(Alimentos!$H$5:$H$40,MATCH($D839,Alimentos!$B$5:$B$40,0)))</f>
        <v/>
      </c>
      <c r="L839" s="24" t="str">
        <f aca="false">IF(OR(A839="",B839=""),"",Perfil!$C$13+(A839-1)*7+MATCH(B839,{"Lunes","Martes","Miércoles","Jueves","Viernes","Sábado","Domingo"},0)-1)</f>
        <v/>
      </c>
    </row>
    <row r="840" customFormat="false" ht="15" hidden="false" customHeight="false" outlineLevel="0" collapsed="false">
      <c r="G840" s="23" t="str">
        <f aca="false">IF(OR(D840="",E840=""),"",E840*IFERROR(VLOOKUP(F840,Perfil!$B$19:$C$24,2,0),1))</f>
        <v/>
      </c>
      <c r="H840" s="23" t="str">
        <f aca="false">IF(G840="","",G840/100*INDEX(Alimentos!$E$5:$E$40,MATCH($D840,Alimentos!$B$5:$B$40,0)))</f>
        <v/>
      </c>
      <c r="I840" s="23" t="str">
        <f aca="false">IF(G840="","",G840/100*INDEX(Alimentos!$F$5:$F$40,MATCH($D840,Alimentos!$B$5:$B$40,0)))</f>
        <v/>
      </c>
      <c r="J840" s="23" t="str">
        <f aca="false">IF(G840="","",G840/100*INDEX(Alimentos!$G$5:$G$40,MATCH($D840,Alimentos!$B$5:$B$40,0)))</f>
        <v/>
      </c>
      <c r="K840" s="23" t="str">
        <f aca="false">IF(G840="","",G840/100*INDEX(Alimentos!$H$5:$H$40,MATCH($D840,Alimentos!$B$5:$B$40,0)))</f>
        <v/>
      </c>
      <c r="L840" s="24" t="str">
        <f aca="false">IF(OR(A840="",B840=""),"",Perfil!$C$13+(A840-1)*7+MATCH(B840,{"Lunes","Martes","Miércoles","Jueves","Viernes","Sábado","Domingo"},0)-1)</f>
        <v/>
      </c>
    </row>
    <row r="841" customFormat="false" ht="15" hidden="false" customHeight="false" outlineLevel="0" collapsed="false">
      <c r="G841" s="23" t="str">
        <f aca="false">IF(OR(D841="",E841=""),"",E841*IFERROR(VLOOKUP(F841,Perfil!$B$19:$C$24,2,0),1))</f>
        <v/>
      </c>
      <c r="H841" s="23" t="str">
        <f aca="false">IF(G841="","",G841/100*INDEX(Alimentos!$E$5:$E$40,MATCH($D841,Alimentos!$B$5:$B$40,0)))</f>
        <v/>
      </c>
      <c r="I841" s="23" t="str">
        <f aca="false">IF(G841="","",G841/100*INDEX(Alimentos!$F$5:$F$40,MATCH($D841,Alimentos!$B$5:$B$40,0)))</f>
        <v/>
      </c>
      <c r="J841" s="23" t="str">
        <f aca="false">IF(G841="","",G841/100*INDEX(Alimentos!$G$5:$G$40,MATCH($D841,Alimentos!$B$5:$B$40,0)))</f>
        <v/>
      </c>
      <c r="K841" s="23" t="str">
        <f aca="false">IF(G841="","",G841/100*INDEX(Alimentos!$H$5:$H$40,MATCH($D841,Alimentos!$B$5:$B$40,0)))</f>
        <v/>
      </c>
      <c r="L841" s="24" t="str">
        <f aca="false">IF(OR(A841="",B841=""),"",Perfil!$C$13+(A841-1)*7+MATCH(B841,{"Lunes","Martes","Miércoles","Jueves","Viernes","Sábado","Domingo"},0)-1)</f>
        <v/>
      </c>
    </row>
    <row r="842" customFormat="false" ht="15" hidden="false" customHeight="false" outlineLevel="0" collapsed="false">
      <c r="G842" s="23" t="str">
        <f aca="false">IF(OR(D842="",E842=""),"",E842*IFERROR(VLOOKUP(F842,Perfil!$B$19:$C$24,2,0),1))</f>
        <v/>
      </c>
      <c r="H842" s="23" t="str">
        <f aca="false">IF(G842="","",G842/100*INDEX(Alimentos!$E$5:$E$40,MATCH($D842,Alimentos!$B$5:$B$40,0)))</f>
        <v/>
      </c>
      <c r="I842" s="23" t="str">
        <f aca="false">IF(G842="","",G842/100*INDEX(Alimentos!$F$5:$F$40,MATCH($D842,Alimentos!$B$5:$B$40,0)))</f>
        <v/>
      </c>
      <c r="J842" s="23" t="str">
        <f aca="false">IF(G842="","",G842/100*INDEX(Alimentos!$G$5:$G$40,MATCH($D842,Alimentos!$B$5:$B$40,0)))</f>
        <v/>
      </c>
      <c r="K842" s="23" t="str">
        <f aca="false">IF(G842="","",G842/100*INDEX(Alimentos!$H$5:$H$40,MATCH($D842,Alimentos!$B$5:$B$40,0)))</f>
        <v/>
      </c>
      <c r="L842" s="24" t="str">
        <f aca="false">IF(OR(A842="",B842=""),"",Perfil!$C$13+(A842-1)*7+MATCH(B842,{"Lunes","Martes","Miércoles","Jueves","Viernes","Sábado","Domingo"},0)-1)</f>
        <v/>
      </c>
    </row>
    <row r="843" customFormat="false" ht="15" hidden="false" customHeight="false" outlineLevel="0" collapsed="false">
      <c r="G843" s="23" t="str">
        <f aca="false">IF(OR(D843="",E843=""),"",E843*IFERROR(VLOOKUP(F843,Perfil!$B$19:$C$24,2,0),1))</f>
        <v/>
      </c>
      <c r="H843" s="23" t="str">
        <f aca="false">IF(G843="","",G843/100*INDEX(Alimentos!$E$5:$E$40,MATCH($D843,Alimentos!$B$5:$B$40,0)))</f>
        <v/>
      </c>
      <c r="I843" s="23" t="str">
        <f aca="false">IF(G843="","",G843/100*INDEX(Alimentos!$F$5:$F$40,MATCH($D843,Alimentos!$B$5:$B$40,0)))</f>
        <v/>
      </c>
      <c r="J843" s="23" t="str">
        <f aca="false">IF(G843="","",G843/100*INDEX(Alimentos!$G$5:$G$40,MATCH($D843,Alimentos!$B$5:$B$40,0)))</f>
        <v/>
      </c>
      <c r="K843" s="23" t="str">
        <f aca="false">IF(G843="","",G843/100*INDEX(Alimentos!$H$5:$H$40,MATCH($D843,Alimentos!$B$5:$B$40,0)))</f>
        <v/>
      </c>
      <c r="L843" s="24" t="str">
        <f aca="false">IF(OR(A843="",B843=""),"",Perfil!$C$13+(A843-1)*7+MATCH(B843,{"Lunes","Martes","Miércoles","Jueves","Viernes","Sábado","Domingo"},0)-1)</f>
        <v/>
      </c>
    </row>
    <row r="844" customFormat="false" ht="15" hidden="false" customHeight="false" outlineLevel="0" collapsed="false">
      <c r="G844" s="23" t="str">
        <f aca="false">IF(OR(D844="",E844=""),"",E844*IFERROR(VLOOKUP(F844,Perfil!$B$19:$C$24,2,0),1))</f>
        <v/>
      </c>
      <c r="H844" s="23" t="str">
        <f aca="false">IF(G844="","",G844/100*INDEX(Alimentos!$E$5:$E$40,MATCH($D844,Alimentos!$B$5:$B$40,0)))</f>
        <v/>
      </c>
      <c r="I844" s="23" t="str">
        <f aca="false">IF(G844="","",G844/100*INDEX(Alimentos!$F$5:$F$40,MATCH($D844,Alimentos!$B$5:$B$40,0)))</f>
        <v/>
      </c>
      <c r="J844" s="23" t="str">
        <f aca="false">IF(G844="","",G844/100*INDEX(Alimentos!$G$5:$G$40,MATCH($D844,Alimentos!$B$5:$B$40,0)))</f>
        <v/>
      </c>
      <c r="K844" s="23" t="str">
        <f aca="false">IF(G844="","",G844/100*INDEX(Alimentos!$H$5:$H$40,MATCH($D844,Alimentos!$B$5:$B$40,0)))</f>
        <v/>
      </c>
      <c r="L844" s="24" t="str">
        <f aca="false">IF(OR(A844="",B844=""),"",Perfil!$C$13+(A844-1)*7+MATCH(B844,{"Lunes","Martes","Miércoles","Jueves","Viernes","Sábado","Domingo"},0)-1)</f>
        <v/>
      </c>
    </row>
    <row r="845" customFormat="false" ht="15" hidden="false" customHeight="false" outlineLevel="0" collapsed="false">
      <c r="G845" s="23" t="str">
        <f aca="false">IF(OR(D845="",E845=""),"",E845*IFERROR(VLOOKUP(F845,Perfil!$B$19:$C$24,2,0),1))</f>
        <v/>
      </c>
      <c r="H845" s="23" t="str">
        <f aca="false">IF(G845="","",G845/100*INDEX(Alimentos!$E$5:$E$40,MATCH($D845,Alimentos!$B$5:$B$40,0)))</f>
        <v/>
      </c>
      <c r="I845" s="23" t="str">
        <f aca="false">IF(G845="","",G845/100*INDEX(Alimentos!$F$5:$F$40,MATCH($D845,Alimentos!$B$5:$B$40,0)))</f>
        <v/>
      </c>
      <c r="J845" s="23" t="str">
        <f aca="false">IF(G845="","",G845/100*INDEX(Alimentos!$G$5:$G$40,MATCH($D845,Alimentos!$B$5:$B$40,0)))</f>
        <v/>
      </c>
      <c r="K845" s="23" t="str">
        <f aca="false">IF(G845="","",G845/100*INDEX(Alimentos!$H$5:$H$40,MATCH($D845,Alimentos!$B$5:$B$40,0)))</f>
        <v/>
      </c>
      <c r="L845" s="24" t="str">
        <f aca="false">IF(OR(A845="",B845=""),"",Perfil!$C$13+(A845-1)*7+MATCH(B845,{"Lunes","Martes","Miércoles","Jueves","Viernes","Sábado","Domingo"},0)-1)</f>
        <v/>
      </c>
    </row>
    <row r="846" customFormat="false" ht="15" hidden="false" customHeight="false" outlineLevel="0" collapsed="false">
      <c r="G846" s="23" t="str">
        <f aca="false">IF(OR(D846="",E846=""),"",E846*IFERROR(VLOOKUP(F846,Perfil!$B$19:$C$24,2,0),1))</f>
        <v/>
      </c>
      <c r="H846" s="23" t="str">
        <f aca="false">IF(G846="","",G846/100*INDEX(Alimentos!$E$5:$E$40,MATCH($D846,Alimentos!$B$5:$B$40,0)))</f>
        <v/>
      </c>
      <c r="I846" s="23" t="str">
        <f aca="false">IF(G846="","",G846/100*INDEX(Alimentos!$F$5:$F$40,MATCH($D846,Alimentos!$B$5:$B$40,0)))</f>
        <v/>
      </c>
      <c r="J846" s="23" t="str">
        <f aca="false">IF(G846="","",G846/100*INDEX(Alimentos!$G$5:$G$40,MATCH($D846,Alimentos!$B$5:$B$40,0)))</f>
        <v/>
      </c>
      <c r="K846" s="23" t="str">
        <f aca="false">IF(G846="","",G846/100*INDEX(Alimentos!$H$5:$H$40,MATCH($D846,Alimentos!$B$5:$B$40,0)))</f>
        <v/>
      </c>
      <c r="L846" s="24" t="str">
        <f aca="false">IF(OR(A846="",B846=""),"",Perfil!$C$13+(A846-1)*7+MATCH(B846,{"Lunes","Martes","Miércoles","Jueves","Viernes","Sábado","Domingo"},0)-1)</f>
        <v/>
      </c>
    </row>
    <row r="847" customFormat="false" ht="15" hidden="false" customHeight="false" outlineLevel="0" collapsed="false">
      <c r="G847" s="23" t="str">
        <f aca="false">IF(OR(D847="",E847=""),"",E847*IFERROR(VLOOKUP(F847,Perfil!$B$19:$C$24,2,0),1))</f>
        <v/>
      </c>
      <c r="H847" s="23" t="str">
        <f aca="false">IF(G847="","",G847/100*INDEX(Alimentos!$E$5:$E$40,MATCH($D847,Alimentos!$B$5:$B$40,0)))</f>
        <v/>
      </c>
      <c r="I847" s="23" t="str">
        <f aca="false">IF(G847="","",G847/100*INDEX(Alimentos!$F$5:$F$40,MATCH($D847,Alimentos!$B$5:$B$40,0)))</f>
        <v/>
      </c>
      <c r="J847" s="23" t="str">
        <f aca="false">IF(G847="","",G847/100*INDEX(Alimentos!$G$5:$G$40,MATCH($D847,Alimentos!$B$5:$B$40,0)))</f>
        <v/>
      </c>
      <c r="K847" s="23" t="str">
        <f aca="false">IF(G847="","",G847/100*INDEX(Alimentos!$H$5:$H$40,MATCH($D847,Alimentos!$B$5:$B$40,0)))</f>
        <v/>
      </c>
      <c r="L847" s="24" t="str">
        <f aca="false">IF(OR(A847="",B847=""),"",Perfil!$C$13+(A847-1)*7+MATCH(B847,{"Lunes","Martes","Miércoles","Jueves","Viernes","Sábado","Domingo"},0)-1)</f>
        <v/>
      </c>
    </row>
    <row r="848" customFormat="false" ht="15" hidden="false" customHeight="false" outlineLevel="0" collapsed="false">
      <c r="G848" s="23" t="str">
        <f aca="false">IF(OR(D848="",E848=""),"",E848*IFERROR(VLOOKUP(F848,Perfil!$B$19:$C$24,2,0),1))</f>
        <v/>
      </c>
      <c r="H848" s="23" t="str">
        <f aca="false">IF(G848="","",G848/100*INDEX(Alimentos!$E$5:$E$40,MATCH($D848,Alimentos!$B$5:$B$40,0)))</f>
        <v/>
      </c>
      <c r="I848" s="23" t="str">
        <f aca="false">IF(G848="","",G848/100*INDEX(Alimentos!$F$5:$F$40,MATCH($D848,Alimentos!$B$5:$B$40,0)))</f>
        <v/>
      </c>
      <c r="J848" s="23" t="str">
        <f aca="false">IF(G848="","",G848/100*INDEX(Alimentos!$G$5:$G$40,MATCH($D848,Alimentos!$B$5:$B$40,0)))</f>
        <v/>
      </c>
      <c r="K848" s="23" t="str">
        <f aca="false">IF(G848="","",G848/100*INDEX(Alimentos!$H$5:$H$40,MATCH($D848,Alimentos!$B$5:$B$40,0)))</f>
        <v/>
      </c>
      <c r="L848" s="24" t="str">
        <f aca="false">IF(OR(A848="",B848=""),"",Perfil!$C$13+(A848-1)*7+MATCH(B848,{"Lunes","Martes","Miércoles","Jueves","Viernes","Sábado","Domingo"},0)-1)</f>
        <v/>
      </c>
    </row>
    <row r="849" customFormat="false" ht="15" hidden="false" customHeight="false" outlineLevel="0" collapsed="false">
      <c r="G849" s="23" t="str">
        <f aca="false">IF(OR(D849="",E849=""),"",E849*IFERROR(VLOOKUP(F849,Perfil!$B$19:$C$24,2,0),1))</f>
        <v/>
      </c>
      <c r="H849" s="23" t="str">
        <f aca="false">IF(G849="","",G849/100*INDEX(Alimentos!$E$5:$E$40,MATCH($D849,Alimentos!$B$5:$B$40,0)))</f>
        <v/>
      </c>
      <c r="I849" s="23" t="str">
        <f aca="false">IF(G849="","",G849/100*INDEX(Alimentos!$F$5:$F$40,MATCH($D849,Alimentos!$B$5:$B$40,0)))</f>
        <v/>
      </c>
      <c r="J849" s="23" t="str">
        <f aca="false">IF(G849="","",G849/100*INDEX(Alimentos!$G$5:$G$40,MATCH($D849,Alimentos!$B$5:$B$40,0)))</f>
        <v/>
      </c>
      <c r="K849" s="23" t="str">
        <f aca="false">IF(G849="","",G849/100*INDEX(Alimentos!$H$5:$H$40,MATCH($D849,Alimentos!$B$5:$B$40,0)))</f>
        <v/>
      </c>
      <c r="L849" s="24" t="str">
        <f aca="false">IF(OR(A849="",B849=""),"",Perfil!$C$13+(A849-1)*7+MATCH(B849,{"Lunes","Martes","Miércoles","Jueves","Viernes","Sábado","Domingo"},0)-1)</f>
        <v/>
      </c>
    </row>
    <row r="850" customFormat="false" ht="15" hidden="false" customHeight="false" outlineLevel="0" collapsed="false">
      <c r="G850" s="23" t="str">
        <f aca="false">IF(OR(D850="",E850=""),"",E850*IFERROR(VLOOKUP(F850,Perfil!$B$19:$C$24,2,0),1))</f>
        <v/>
      </c>
      <c r="H850" s="23" t="str">
        <f aca="false">IF(G850="","",G850/100*INDEX(Alimentos!$E$5:$E$40,MATCH($D850,Alimentos!$B$5:$B$40,0)))</f>
        <v/>
      </c>
      <c r="I850" s="23" t="str">
        <f aca="false">IF(G850="","",G850/100*INDEX(Alimentos!$F$5:$F$40,MATCH($D850,Alimentos!$B$5:$B$40,0)))</f>
        <v/>
      </c>
      <c r="J850" s="23" t="str">
        <f aca="false">IF(G850="","",G850/100*INDEX(Alimentos!$G$5:$G$40,MATCH($D850,Alimentos!$B$5:$B$40,0)))</f>
        <v/>
      </c>
      <c r="K850" s="23" t="str">
        <f aca="false">IF(G850="","",G850/100*INDEX(Alimentos!$H$5:$H$40,MATCH($D850,Alimentos!$B$5:$B$40,0)))</f>
        <v/>
      </c>
      <c r="L850" s="24" t="str">
        <f aca="false">IF(OR(A850="",B850=""),"",Perfil!$C$13+(A850-1)*7+MATCH(B850,{"Lunes","Martes","Miércoles","Jueves","Viernes","Sábado","Domingo"},0)-1)</f>
        <v/>
      </c>
    </row>
    <row r="851" customFormat="false" ht="15" hidden="false" customHeight="false" outlineLevel="0" collapsed="false">
      <c r="G851" s="23" t="str">
        <f aca="false">IF(OR(D851="",E851=""),"",E851*IFERROR(VLOOKUP(F851,Perfil!$B$19:$C$24,2,0),1))</f>
        <v/>
      </c>
      <c r="H851" s="23" t="str">
        <f aca="false">IF(G851="","",G851/100*INDEX(Alimentos!$E$5:$E$40,MATCH($D851,Alimentos!$B$5:$B$40,0)))</f>
        <v/>
      </c>
      <c r="I851" s="23" t="str">
        <f aca="false">IF(G851="","",G851/100*INDEX(Alimentos!$F$5:$F$40,MATCH($D851,Alimentos!$B$5:$B$40,0)))</f>
        <v/>
      </c>
      <c r="J851" s="23" t="str">
        <f aca="false">IF(G851="","",G851/100*INDEX(Alimentos!$G$5:$G$40,MATCH($D851,Alimentos!$B$5:$B$40,0)))</f>
        <v/>
      </c>
      <c r="K851" s="23" t="str">
        <f aca="false">IF(G851="","",G851/100*INDEX(Alimentos!$H$5:$H$40,MATCH($D851,Alimentos!$B$5:$B$40,0)))</f>
        <v/>
      </c>
      <c r="L851" s="24" t="str">
        <f aca="false">IF(OR(A851="",B851=""),"",Perfil!$C$13+(A851-1)*7+MATCH(B851,{"Lunes","Martes","Miércoles","Jueves","Viernes","Sábado","Domingo"},0)-1)</f>
        <v/>
      </c>
    </row>
    <row r="852" customFormat="false" ht="15" hidden="false" customHeight="false" outlineLevel="0" collapsed="false">
      <c r="G852" s="23" t="str">
        <f aca="false">IF(OR(D852="",E852=""),"",E852*IFERROR(VLOOKUP(F852,Perfil!$B$19:$C$24,2,0),1))</f>
        <v/>
      </c>
      <c r="H852" s="23" t="str">
        <f aca="false">IF(G852="","",G852/100*INDEX(Alimentos!$E$5:$E$40,MATCH($D852,Alimentos!$B$5:$B$40,0)))</f>
        <v/>
      </c>
      <c r="I852" s="23" t="str">
        <f aca="false">IF(G852="","",G852/100*INDEX(Alimentos!$F$5:$F$40,MATCH($D852,Alimentos!$B$5:$B$40,0)))</f>
        <v/>
      </c>
      <c r="J852" s="23" t="str">
        <f aca="false">IF(G852="","",G852/100*INDEX(Alimentos!$G$5:$G$40,MATCH($D852,Alimentos!$B$5:$B$40,0)))</f>
        <v/>
      </c>
      <c r="K852" s="23" t="str">
        <f aca="false">IF(G852="","",G852/100*INDEX(Alimentos!$H$5:$H$40,MATCH($D852,Alimentos!$B$5:$B$40,0)))</f>
        <v/>
      </c>
      <c r="L852" s="24" t="str">
        <f aca="false">IF(OR(A852="",B852=""),"",Perfil!$C$13+(A852-1)*7+MATCH(B852,{"Lunes","Martes","Miércoles","Jueves","Viernes","Sábado","Domingo"},0)-1)</f>
        <v/>
      </c>
    </row>
    <row r="853" customFormat="false" ht="15" hidden="false" customHeight="false" outlineLevel="0" collapsed="false">
      <c r="G853" s="23" t="str">
        <f aca="false">IF(OR(D853="",E853=""),"",E853*IFERROR(VLOOKUP(F853,Perfil!$B$19:$C$24,2,0),1))</f>
        <v/>
      </c>
      <c r="H853" s="23" t="str">
        <f aca="false">IF(G853="","",G853/100*INDEX(Alimentos!$E$5:$E$40,MATCH($D853,Alimentos!$B$5:$B$40,0)))</f>
        <v/>
      </c>
      <c r="I853" s="23" t="str">
        <f aca="false">IF(G853="","",G853/100*INDEX(Alimentos!$F$5:$F$40,MATCH($D853,Alimentos!$B$5:$B$40,0)))</f>
        <v/>
      </c>
      <c r="J853" s="23" t="str">
        <f aca="false">IF(G853="","",G853/100*INDEX(Alimentos!$G$5:$G$40,MATCH($D853,Alimentos!$B$5:$B$40,0)))</f>
        <v/>
      </c>
      <c r="K853" s="23" t="str">
        <f aca="false">IF(G853="","",G853/100*INDEX(Alimentos!$H$5:$H$40,MATCH($D853,Alimentos!$B$5:$B$40,0)))</f>
        <v/>
      </c>
      <c r="L853" s="24" t="str">
        <f aca="false">IF(OR(A853="",B853=""),"",Perfil!$C$13+(A853-1)*7+MATCH(B853,{"Lunes","Martes","Miércoles","Jueves","Viernes","Sábado","Domingo"},0)-1)</f>
        <v/>
      </c>
    </row>
    <row r="854" customFormat="false" ht="15" hidden="false" customHeight="false" outlineLevel="0" collapsed="false">
      <c r="G854" s="23" t="str">
        <f aca="false">IF(OR(D854="",E854=""),"",E854*IFERROR(VLOOKUP(F854,Perfil!$B$19:$C$24,2,0),1))</f>
        <v/>
      </c>
      <c r="H854" s="23" t="str">
        <f aca="false">IF(G854="","",G854/100*INDEX(Alimentos!$E$5:$E$40,MATCH($D854,Alimentos!$B$5:$B$40,0)))</f>
        <v/>
      </c>
      <c r="I854" s="23" t="str">
        <f aca="false">IF(G854="","",G854/100*INDEX(Alimentos!$F$5:$F$40,MATCH($D854,Alimentos!$B$5:$B$40,0)))</f>
        <v/>
      </c>
      <c r="J854" s="23" t="str">
        <f aca="false">IF(G854="","",G854/100*INDEX(Alimentos!$G$5:$G$40,MATCH($D854,Alimentos!$B$5:$B$40,0)))</f>
        <v/>
      </c>
      <c r="K854" s="23" t="str">
        <f aca="false">IF(G854="","",G854/100*INDEX(Alimentos!$H$5:$H$40,MATCH($D854,Alimentos!$B$5:$B$40,0)))</f>
        <v/>
      </c>
      <c r="L854" s="24" t="str">
        <f aca="false">IF(OR(A854="",B854=""),"",Perfil!$C$13+(A854-1)*7+MATCH(B854,{"Lunes","Martes","Miércoles","Jueves","Viernes","Sábado","Domingo"},0)-1)</f>
        <v/>
      </c>
    </row>
    <row r="855" customFormat="false" ht="15" hidden="false" customHeight="false" outlineLevel="0" collapsed="false">
      <c r="G855" s="23" t="str">
        <f aca="false">IF(OR(D855="",E855=""),"",E855*IFERROR(VLOOKUP(F855,Perfil!$B$19:$C$24,2,0),1))</f>
        <v/>
      </c>
      <c r="H855" s="23" t="str">
        <f aca="false">IF(G855="","",G855/100*INDEX(Alimentos!$E$5:$E$40,MATCH($D855,Alimentos!$B$5:$B$40,0)))</f>
        <v/>
      </c>
      <c r="I855" s="23" t="str">
        <f aca="false">IF(G855="","",G855/100*INDEX(Alimentos!$F$5:$F$40,MATCH($D855,Alimentos!$B$5:$B$40,0)))</f>
        <v/>
      </c>
      <c r="J855" s="23" t="str">
        <f aca="false">IF(G855="","",G855/100*INDEX(Alimentos!$G$5:$G$40,MATCH($D855,Alimentos!$B$5:$B$40,0)))</f>
        <v/>
      </c>
      <c r="K855" s="23" t="str">
        <f aca="false">IF(G855="","",G855/100*INDEX(Alimentos!$H$5:$H$40,MATCH($D855,Alimentos!$B$5:$B$40,0)))</f>
        <v/>
      </c>
      <c r="L855" s="24" t="str">
        <f aca="false">IF(OR(A855="",B855=""),"",Perfil!$C$13+(A855-1)*7+MATCH(B855,{"Lunes","Martes","Miércoles","Jueves","Viernes","Sábado","Domingo"},0)-1)</f>
        <v/>
      </c>
    </row>
    <row r="856" customFormat="false" ht="15" hidden="false" customHeight="false" outlineLevel="0" collapsed="false">
      <c r="G856" s="23" t="str">
        <f aca="false">IF(OR(D856="",E856=""),"",E856*IFERROR(VLOOKUP(F856,Perfil!$B$19:$C$24,2,0),1))</f>
        <v/>
      </c>
      <c r="H856" s="23" t="str">
        <f aca="false">IF(G856="","",G856/100*INDEX(Alimentos!$E$5:$E$40,MATCH($D856,Alimentos!$B$5:$B$40,0)))</f>
        <v/>
      </c>
      <c r="I856" s="23" t="str">
        <f aca="false">IF(G856="","",G856/100*INDEX(Alimentos!$F$5:$F$40,MATCH($D856,Alimentos!$B$5:$B$40,0)))</f>
        <v/>
      </c>
      <c r="J856" s="23" t="str">
        <f aca="false">IF(G856="","",G856/100*INDEX(Alimentos!$G$5:$G$40,MATCH($D856,Alimentos!$B$5:$B$40,0)))</f>
        <v/>
      </c>
      <c r="K856" s="23" t="str">
        <f aca="false">IF(G856="","",G856/100*INDEX(Alimentos!$H$5:$H$40,MATCH($D856,Alimentos!$B$5:$B$40,0)))</f>
        <v/>
      </c>
      <c r="L856" s="24" t="str">
        <f aca="false">IF(OR(A856="",B856=""),"",Perfil!$C$13+(A856-1)*7+MATCH(B856,{"Lunes","Martes","Miércoles","Jueves","Viernes","Sábado","Domingo"},0)-1)</f>
        <v/>
      </c>
    </row>
    <row r="857" customFormat="false" ht="15" hidden="false" customHeight="false" outlineLevel="0" collapsed="false">
      <c r="G857" s="23" t="str">
        <f aca="false">IF(OR(D857="",E857=""),"",E857*IFERROR(VLOOKUP(F857,Perfil!$B$19:$C$24,2,0),1))</f>
        <v/>
      </c>
      <c r="H857" s="23" t="str">
        <f aca="false">IF(G857="","",G857/100*INDEX(Alimentos!$E$5:$E$40,MATCH($D857,Alimentos!$B$5:$B$40,0)))</f>
        <v/>
      </c>
      <c r="I857" s="23" t="str">
        <f aca="false">IF(G857="","",G857/100*INDEX(Alimentos!$F$5:$F$40,MATCH($D857,Alimentos!$B$5:$B$40,0)))</f>
        <v/>
      </c>
      <c r="J857" s="23" t="str">
        <f aca="false">IF(G857="","",G857/100*INDEX(Alimentos!$G$5:$G$40,MATCH($D857,Alimentos!$B$5:$B$40,0)))</f>
        <v/>
      </c>
      <c r="K857" s="23" t="str">
        <f aca="false">IF(G857="","",G857/100*INDEX(Alimentos!$H$5:$H$40,MATCH($D857,Alimentos!$B$5:$B$40,0)))</f>
        <v/>
      </c>
      <c r="L857" s="24" t="str">
        <f aca="false">IF(OR(A857="",B857=""),"",Perfil!$C$13+(A857-1)*7+MATCH(B857,{"Lunes","Martes","Miércoles","Jueves","Viernes","Sábado","Domingo"},0)-1)</f>
        <v/>
      </c>
    </row>
    <row r="858" customFormat="false" ht="15" hidden="false" customHeight="false" outlineLevel="0" collapsed="false">
      <c r="G858" s="23" t="str">
        <f aca="false">IF(OR(D858="",E858=""),"",E858*IFERROR(VLOOKUP(F858,Perfil!$B$19:$C$24,2,0),1))</f>
        <v/>
      </c>
      <c r="H858" s="23" t="str">
        <f aca="false">IF(G858="","",G858/100*INDEX(Alimentos!$E$5:$E$40,MATCH($D858,Alimentos!$B$5:$B$40,0)))</f>
        <v/>
      </c>
      <c r="I858" s="23" t="str">
        <f aca="false">IF(G858="","",G858/100*INDEX(Alimentos!$F$5:$F$40,MATCH($D858,Alimentos!$B$5:$B$40,0)))</f>
        <v/>
      </c>
      <c r="J858" s="23" t="str">
        <f aca="false">IF(G858="","",G858/100*INDEX(Alimentos!$G$5:$G$40,MATCH($D858,Alimentos!$B$5:$B$40,0)))</f>
        <v/>
      </c>
      <c r="K858" s="23" t="str">
        <f aca="false">IF(G858="","",G858/100*INDEX(Alimentos!$H$5:$H$40,MATCH($D858,Alimentos!$B$5:$B$40,0)))</f>
        <v/>
      </c>
      <c r="L858" s="24" t="str">
        <f aca="false">IF(OR(A858="",B858=""),"",Perfil!$C$13+(A858-1)*7+MATCH(B858,{"Lunes","Martes","Miércoles","Jueves","Viernes","Sábado","Domingo"},0)-1)</f>
        <v/>
      </c>
    </row>
    <row r="859" customFormat="false" ht="15" hidden="false" customHeight="false" outlineLevel="0" collapsed="false">
      <c r="G859" s="23" t="str">
        <f aca="false">IF(OR(D859="",E859=""),"",E859*IFERROR(VLOOKUP(F859,Perfil!$B$19:$C$24,2,0),1))</f>
        <v/>
      </c>
      <c r="H859" s="23" t="str">
        <f aca="false">IF(G859="","",G859/100*INDEX(Alimentos!$E$5:$E$40,MATCH($D859,Alimentos!$B$5:$B$40,0)))</f>
        <v/>
      </c>
      <c r="I859" s="23" t="str">
        <f aca="false">IF(G859="","",G859/100*INDEX(Alimentos!$F$5:$F$40,MATCH($D859,Alimentos!$B$5:$B$40,0)))</f>
        <v/>
      </c>
      <c r="J859" s="23" t="str">
        <f aca="false">IF(G859="","",G859/100*INDEX(Alimentos!$G$5:$G$40,MATCH($D859,Alimentos!$B$5:$B$40,0)))</f>
        <v/>
      </c>
      <c r="K859" s="23" t="str">
        <f aca="false">IF(G859="","",G859/100*INDEX(Alimentos!$H$5:$H$40,MATCH($D859,Alimentos!$B$5:$B$40,0)))</f>
        <v/>
      </c>
      <c r="L859" s="24" t="str">
        <f aca="false">IF(OR(A859="",B859=""),"",Perfil!$C$13+(A859-1)*7+MATCH(B859,{"Lunes","Martes","Miércoles","Jueves","Viernes","Sábado","Domingo"},0)-1)</f>
        <v/>
      </c>
    </row>
    <row r="860" customFormat="false" ht="15" hidden="false" customHeight="false" outlineLevel="0" collapsed="false">
      <c r="G860" s="23" t="str">
        <f aca="false">IF(OR(D860="",E860=""),"",E860*IFERROR(VLOOKUP(F860,Perfil!$B$19:$C$24,2,0),1))</f>
        <v/>
      </c>
      <c r="H860" s="23" t="str">
        <f aca="false">IF(G860="","",G860/100*INDEX(Alimentos!$E$5:$E$40,MATCH($D860,Alimentos!$B$5:$B$40,0)))</f>
        <v/>
      </c>
      <c r="I860" s="23" t="str">
        <f aca="false">IF(G860="","",G860/100*INDEX(Alimentos!$F$5:$F$40,MATCH($D860,Alimentos!$B$5:$B$40,0)))</f>
        <v/>
      </c>
      <c r="J860" s="23" t="str">
        <f aca="false">IF(G860="","",G860/100*INDEX(Alimentos!$G$5:$G$40,MATCH($D860,Alimentos!$B$5:$B$40,0)))</f>
        <v/>
      </c>
      <c r="K860" s="23" t="str">
        <f aca="false">IF(G860="","",G860/100*INDEX(Alimentos!$H$5:$H$40,MATCH($D860,Alimentos!$B$5:$B$40,0)))</f>
        <v/>
      </c>
      <c r="L860" s="24" t="str">
        <f aca="false">IF(OR(A860="",B860=""),"",Perfil!$C$13+(A860-1)*7+MATCH(B860,{"Lunes","Martes","Miércoles","Jueves","Viernes","Sábado","Domingo"},0)-1)</f>
        <v/>
      </c>
    </row>
    <row r="861" customFormat="false" ht="15" hidden="false" customHeight="false" outlineLevel="0" collapsed="false">
      <c r="G861" s="23" t="str">
        <f aca="false">IF(OR(D861="",E861=""),"",E861*IFERROR(VLOOKUP(F861,Perfil!$B$19:$C$24,2,0),1))</f>
        <v/>
      </c>
      <c r="H861" s="23" t="str">
        <f aca="false">IF(G861="","",G861/100*INDEX(Alimentos!$E$5:$E$40,MATCH($D861,Alimentos!$B$5:$B$40,0)))</f>
        <v/>
      </c>
      <c r="I861" s="23" t="str">
        <f aca="false">IF(G861="","",G861/100*INDEX(Alimentos!$F$5:$F$40,MATCH($D861,Alimentos!$B$5:$B$40,0)))</f>
        <v/>
      </c>
      <c r="J861" s="23" t="str">
        <f aca="false">IF(G861="","",G861/100*INDEX(Alimentos!$G$5:$G$40,MATCH($D861,Alimentos!$B$5:$B$40,0)))</f>
        <v/>
      </c>
      <c r="K861" s="23" t="str">
        <f aca="false">IF(G861="","",G861/100*INDEX(Alimentos!$H$5:$H$40,MATCH($D861,Alimentos!$B$5:$B$40,0)))</f>
        <v/>
      </c>
      <c r="L861" s="24" t="str">
        <f aca="false">IF(OR(A861="",B861=""),"",Perfil!$C$13+(A861-1)*7+MATCH(B861,{"Lunes","Martes","Miércoles","Jueves","Viernes","Sábado","Domingo"},0)-1)</f>
        <v/>
      </c>
    </row>
    <row r="862" customFormat="false" ht="15" hidden="false" customHeight="false" outlineLevel="0" collapsed="false">
      <c r="G862" s="23" t="str">
        <f aca="false">IF(OR(D862="",E862=""),"",E862*IFERROR(VLOOKUP(F862,Perfil!$B$19:$C$24,2,0),1))</f>
        <v/>
      </c>
      <c r="H862" s="23" t="str">
        <f aca="false">IF(G862="","",G862/100*INDEX(Alimentos!$E$5:$E$40,MATCH($D862,Alimentos!$B$5:$B$40,0)))</f>
        <v/>
      </c>
      <c r="I862" s="23" t="str">
        <f aca="false">IF(G862="","",G862/100*INDEX(Alimentos!$F$5:$F$40,MATCH($D862,Alimentos!$B$5:$B$40,0)))</f>
        <v/>
      </c>
      <c r="J862" s="23" t="str">
        <f aca="false">IF(G862="","",G862/100*INDEX(Alimentos!$G$5:$G$40,MATCH($D862,Alimentos!$B$5:$B$40,0)))</f>
        <v/>
      </c>
      <c r="K862" s="23" t="str">
        <f aca="false">IF(G862="","",G862/100*INDEX(Alimentos!$H$5:$H$40,MATCH($D862,Alimentos!$B$5:$B$40,0)))</f>
        <v/>
      </c>
      <c r="L862" s="24" t="str">
        <f aca="false">IF(OR(A862="",B862=""),"",Perfil!$C$13+(A862-1)*7+MATCH(B862,{"Lunes","Martes","Miércoles","Jueves","Viernes","Sábado","Domingo"},0)-1)</f>
        <v/>
      </c>
    </row>
    <row r="863" customFormat="false" ht="15" hidden="false" customHeight="false" outlineLevel="0" collapsed="false">
      <c r="G863" s="23" t="str">
        <f aca="false">IF(OR(D863="",E863=""),"",E863*IFERROR(VLOOKUP(F863,Perfil!$B$19:$C$24,2,0),1))</f>
        <v/>
      </c>
      <c r="H863" s="23" t="str">
        <f aca="false">IF(G863="","",G863/100*INDEX(Alimentos!$E$5:$E$40,MATCH($D863,Alimentos!$B$5:$B$40,0)))</f>
        <v/>
      </c>
      <c r="I863" s="23" t="str">
        <f aca="false">IF(G863="","",G863/100*INDEX(Alimentos!$F$5:$F$40,MATCH($D863,Alimentos!$B$5:$B$40,0)))</f>
        <v/>
      </c>
      <c r="J863" s="23" t="str">
        <f aca="false">IF(G863="","",G863/100*INDEX(Alimentos!$G$5:$G$40,MATCH($D863,Alimentos!$B$5:$B$40,0)))</f>
        <v/>
      </c>
      <c r="K863" s="23" t="str">
        <f aca="false">IF(G863="","",G863/100*INDEX(Alimentos!$H$5:$H$40,MATCH($D863,Alimentos!$B$5:$B$40,0)))</f>
        <v/>
      </c>
      <c r="L863" s="24" t="str">
        <f aca="false">IF(OR(A863="",B863=""),"",Perfil!$C$13+(A863-1)*7+MATCH(B863,{"Lunes","Martes","Miércoles","Jueves","Viernes","Sábado","Domingo"},0)-1)</f>
        <v/>
      </c>
    </row>
    <row r="864" customFormat="false" ht="15" hidden="false" customHeight="false" outlineLevel="0" collapsed="false">
      <c r="G864" s="23" t="str">
        <f aca="false">IF(OR(D864="",E864=""),"",E864*IFERROR(VLOOKUP(F864,Perfil!$B$19:$C$24,2,0),1))</f>
        <v/>
      </c>
      <c r="H864" s="23" t="str">
        <f aca="false">IF(G864="","",G864/100*INDEX(Alimentos!$E$5:$E$40,MATCH($D864,Alimentos!$B$5:$B$40,0)))</f>
        <v/>
      </c>
      <c r="I864" s="23" t="str">
        <f aca="false">IF(G864="","",G864/100*INDEX(Alimentos!$F$5:$F$40,MATCH($D864,Alimentos!$B$5:$B$40,0)))</f>
        <v/>
      </c>
      <c r="J864" s="23" t="str">
        <f aca="false">IF(G864="","",G864/100*INDEX(Alimentos!$G$5:$G$40,MATCH($D864,Alimentos!$B$5:$B$40,0)))</f>
        <v/>
      </c>
      <c r="K864" s="23" t="str">
        <f aca="false">IF(G864="","",G864/100*INDEX(Alimentos!$H$5:$H$40,MATCH($D864,Alimentos!$B$5:$B$40,0)))</f>
        <v/>
      </c>
      <c r="L864" s="24" t="str">
        <f aca="false">IF(OR(A864="",B864=""),"",Perfil!$C$13+(A864-1)*7+MATCH(B864,{"Lunes","Martes","Miércoles","Jueves","Viernes","Sábado","Domingo"},0)-1)</f>
        <v/>
      </c>
    </row>
    <row r="865" customFormat="false" ht="15" hidden="false" customHeight="false" outlineLevel="0" collapsed="false">
      <c r="G865" s="23" t="str">
        <f aca="false">IF(OR(D865="",E865=""),"",E865*IFERROR(VLOOKUP(F865,Perfil!$B$19:$C$24,2,0),1))</f>
        <v/>
      </c>
      <c r="H865" s="23" t="str">
        <f aca="false">IF(G865="","",G865/100*INDEX(Alimentos!$E$5:$E$40,MATCH($D865,Alimentos!$B$5:$B$40,0)))</f>
        <v/>
      </c>
      <c r="I865" s="23" t="str">
        <f aca="false">IF(G865="","",G865/100*INDEX(Alimentos!$F$5:$F$40,MATCH($D865,Alimentos!$B$5:$B$40,0)))</f>
        <v/>
      </c>
      <c r="J865" s="23" t="str">
        <f aca="false">IF(G865="","",G865/100*INDEX(Alimentos!$G$5:$G$40,MATCH($D865,Alimentos!$B$5:$B$40,0)))</f>
        <v/>
      </c>
      <c r="K865" s="23" t="str">
        <f aca="false">IF(G865="","",G865/100*INDEX(Alimentos!$H$5:$H$40,MATCH($D865,Alimentos!$B$5:$B$40,0)))</f>
        <v/>
      </c>
      <c r="L865" s="24" t="str">
        <f aca="false">IF(OR(A865="",B865=""),"",Perfil!$C$13+(A865-1)*7+MATCH(B865,{"Lunes","Martes","Miércoles","Jueves","Viernes","Sábado","Domingo"},0)-1)</f>
        <v/>
      </c>
    </row>
    <row r="866" customFormat="false" ht="15" hidden="false" customHeight="false" outlineLevel="0" collapsed="false">
      <c r="G866" s="23" t="str">
        <f aca="false">IF(OR(D866="",E866=""),"",E866*IFERROR(VLOOKUP(F866,Perfil!$B$19:$C$24,2,0),1))</f>
        <v/>
      </c>
      <c r="H866" s="23" t="str">
        <f aca="false">IF(G866="","",G866/100*INDEX(Alimentos!$E$5:$E$40,MATCH($D866,Alimentos!$B$5:$B$40,0)))</f>
        <v/>
      </c>
      <c r="I866" s="23" t="str">
        <f aca="false">IF(G866="","",G866/100*INDEX(Alimentos!$F$5:$F$40,MATCH($D866,Alimentos!$B$5:$B$40,0)))</f>
        <v/>
      </c>
      <c r="J866" s="23" t="str">
        <f aca="false">IF(G866="","",G866/100*INDEX(Alimentos!$G$5:$G$40,MATCH($D866,Alimentos!$B$5:$B$40,0)))</f>
        <v/>
      </c>
      <c r="K866" s="23" t="str">
        <f aca="false">IF(G866="","",G866/100*INDEX(Alimentos!$H$5:$H$40,MATCH($D866,Alimentos!$B$5:$B$40,0)))</f>
        <v/>
      </c>
      <c r="L866" s="24" t="str">
        <f aca="false">IF(OR(A866="",B866=""),"",Perfil!$C$13+(A866-1)*7+MATCH(B866,{"Lunes","Martes","Miércoles","Jueves","Viernes","Sábado","Domingo"},0)-1)</f>
        <v/>
      </c>
    </row>
    <row r="867" customFormat="false" ht="15" hidden="false" customHeight="false" outlineLevel="0" collapsed="false">
      <c r="G867" s="23" t="str">
        <f aca="false">IF(OR(D867="",E867=""),"",E867*IFERROR(VLOOKUP(F867,Perfil!$B$19:$C$24,2,0),1))</f>
        <v/>
      </c>
      <c r="H867" s="23" t="str">
        <f aca="false">IF(G867="","",G867/100*INDEX(Alimentos!$E$5:$E$40,MATCH($D867,Alimentos!$B$5:$B$40,0)))</f>
        <v/>
      </c>
      <c r="I867" s="23" t="str">
        <f aca="false">IF(G867="","",G867/100*INDEX(Alimentos!$F$5:$F$40,MATCH($D867,Alimentos!$B$5:$B$40,0)))</f>
        <v/>
      </c>
      <c r="J867" s="23" t="str">
        <f aca="false">IF(G867="","",G867/100*INDEX(Alimentos!$G$5:$G$40,MATCH($D867,Alimentos!$B$5:$B$40,0)))</f>
        <v/>
      </c>
      <c r="K867" s="23" t="str">
        <f aca="false">IF(G867="","",G867/100*INDEX(Alimentos!$H$5:$H$40,MATCH($D867,Alimentos!$B$5:$B$40,0)))</f>
        <v/>
      </c>
      <c r="L867" s="24" t="str">
        <f aca="false">IF(OR(A867="",B867=""),"",Perfil!$C$13+(A867-1)*7+MATCH(B867,{"Lunes","Martes","Miércoles","Jueves","Viernes","Sábado","Domingo"},0)-1)</f>
        <v/>
      </c>
    </row>
    <row r="868" customFormat="false" ht="15" hidden="false" customHeight="false" outlineLevel="0" collapsed="false">
      <c r="G868" s="23" t="str">
        <f aca="false">IF(OR(D868="",E868=""),"",E868*IFERROR(VLOOKUP(F868,Perfil!$B$19:$C$24,2,0),1))</f>
        <v/>
      </c>
      <c r="H868" s="23" t="str">
        <f aca="false">IF(G868="","",G868/100*INDEX(Alimentos!$E$5:$E$40,MATCH($D868,Alimentos!$B$5:$B$40,0)))</f>
        <v/>
      </c>
      <c r="I868" s="23" t="str">
        <f aca="false">IF(G868="","",G868/100*INDEX(Alimentos!$F$5:$F$40,MATCH($D868,Alimentos!$B$5:$B$40,0)))</f>
        <v/>
      </c>
      <c r="J868" s="23" t="str">
        <f aca="false">IF(G868="","",G868/100*INDEX(Alimentos!$G$5:$G$40,MATCH($D868,Alimentos!$B$5:$B$40,0)))</f>
        <v/>
      </c>
      <c r="K868" s="23" t="str">
        <f aca="false">IF(G868="","",G868/100*INDEX(Alimentos!$H$5:$H$40,MATCH($D868,Alimentos!$B$5:$B$40,0)))</f>
        <v/>
      </c>
      <c r="L868" s="24" t="str">
        <f aca="false">IF(OR(A868="",B868=""),"",Perfil!$C$13+(A868-1)*7+MATCH(B868,{"Lunes","Martes","Miércoles","Jueves","Viernes","Sábado","Domingo"},0)-1)</f>
        <v/>
      </c>
    </row>
    <row r="869" customFormat="false" ht="15" hidden="false" customHeight="false" outlineLevel="0" collapsed="false">
      <c r="G869" s="23" t="str">
        <f aca="false">IF(OR(D869="",E869=""),"",E869*IFERROR(VLOOKUP(F869,Perfil!$B$19:$C$24,2,0),1))</f>
        <v/>
      </c>
      <c r="H869" s="23" t="str">
        <f aca="false">IF(G869="","",G869/100*INDEX(Alimentos!$E$5:$E$40,MATCH($D869,Alimentos!$B$5:$B$40,0)))</f>
        <v/>
      </c>
      <c r="I869" s="23" t="str">
        <f aca="false">IF(G869="","",G869/100*INDEX(Alimentos!$F$5:$F$40,MATCH($D869,Alimentos!$B$5:$B$40,0)))</f>
        <v/>
      </c>
      <c r="J869" s="23" t="str">
        <f aca="false">IF(G869="","",G869/100*INDEX(Alimentos!$G$5:$G$40,MATCH($D869,Alimentos!$B$5:$B$40,0)))</f>
        <v/>
      </c>
      <c r="K869" s="23" t="str">
        <f aca="false">IF(G869="","",G869/100*INDEX(Alimentos!$H$5:$H$40,MATCH($D869,Alimentos!$B$5:$B$40,0)))</f>
        <v/>
      </c>
      <c r="L869" s="24" t="str">
        <f aca="false">IF(OR(A869="",B869=""),"",Perfil!$C$13+(A869-1)*7+MATCH(B869,{"Lunes","Martes","Miércoles","Jueves","Viernes","Sábado","Domingo"},0)-1)</f>
        <v/>
      </c>
    </row>
    <row r="870" customFormat="false" ht="15" hidden="false" customHeight="false" outlineLevel="0" collapsed="false">
      <c r="G870" s="23" t="str">
        <f aca="false">IF(OR(D870="",E870=""),"",E870*IFERROR(VLOOKUP(F870,Perfil!$B$19:$C$24,2,0),1))</f>
        <v/>
      </c>
      <c r="H870" s="23" t="str">
        <f aca="false">IF(G870="","",G870/100*INDEX(Alimentos!$E$5:$E$40,MATCH($D870,Alimentos!$B$5:$B$40,0)))</f>
        <v/>
      </c>
      <c r="I870" s="23" t="str">
        <f aca="false">IF(G870="","",G870/100*INDEX(Alimentos!$F$5:$F$40,MATCH($D870,Alimentos!$B$5:$B$40,0)))</f>
        <v/>
      </c>
      <c r="J870" s="23" t="str">
        <f aca="false">IF(G870="","",G870/100*INDEX(Alimentos!$G$5:$G$40,MATCH($D870,Alimentos!$B$5:$B$40,0)))</f>
        <v/>
      </c>
      <c r="K870" s="23" t="str">
        <f aca="false">IF(G870="","",G870/100*INDEX(Alimentos!$H$5:$H$40,MATCH($D870,Alimentos!$B$5:$B$40,0)))</f>
        <v/>
      </c>
      <c r="L870" s="24" t="str">
        <f aca="false">IF(OR(A870="",B870=""),"",Perfil!$C$13+(A870-1)*7+MATCH(B870,{"Lunes","Martes","Miércoles","Jueves","Viernes","Sábado","Domingo"},0)-1)</f>
        <v/>
      </c>
    </row>
    <row r="871" customFormat="false" ht="15" hidden="false" customHeight="false" outlineLevel="0" collapsed="false">
      <c r="G871" s="23" t="str">
        <f aca="false">IF(OR(D871="",E871=""),"",E871*IFERROR(VLOOKUP(F871,Perfil!$B$19:$C$24,2,0),1))</f>
        <v/>
      </c>
      <c r="H871" s="23" t="str">
        <f aca="false">IF(G871="","",G871/100*INDEX(Alimentos!$E$5:$E$40,MATCH($D871,Alimentos!$B$5:$B$40,0)))</f>
        <v/>
      </c>
      <c r="I871" s="23" t="str">
        <f aca="false">IF(G871="","",G871/100*INDEX(Alimentos!$F$5:$F$40,MATCH($D871,Alimentos!$B$5:$B$40,0)))</f>
        <v/>
      </c>
      <c r="J871" s="23" t="str">
        <f aca="false">IF(G871="","",G871/100*INDEX(Alimentos!$G$5:$G$40,MATCH($D871,Alimentos!$B$5:$B$40,0)))</f>
        <v/>
      </c>
      <c r="K871" s="23" t="str">
        <f aca="false">IF(G871="","",G871/100*INDEX(Alimentos!$H$5:$H$40,MATCH($D871,Alimentos!$B$5:$B$40,0)))</f>
        <v/>
      </c>
      <c r="L871" s="24" t="str">
        <f aca="false">IF(OR(A871="",B871=""),"",Perfil!$C$13+(A871-1)*7+MATCH(B871,{"Lunes","Martes","Miércoles","Jueves","Viernes","Sábado","Domingo"},0)-1)</f>
        <v/>
      </c>
    </row>
    <row r="872" customFormat="false" ht="15" hidden="false" customHeight="false" outlineLevel="0" collapsed="false">
      <c r="G872" s="23" t="str">
        <f aca="false">IF(OR(D872="",E872=""),"",E872*IFERROR(VLOOKUP(F872,Perfil!$B$19:$C$24,2,0),1))</f>
        <v/>
      </c>
      <c r="H872" s="23" t="str">
        <f aca="false">IF(G872="","",G872/100*INDEX(Alimentos!$E$5:$E$40,MATCH($D872,Alimentos!$B$5:$B$40,0)))</f>
        <v/>
      </c>
      <c r="I872" s="23" t="str">
        <f aca="false">IF(G872="","",G872/100*INDEX(Alimentos!$F$5:$F$40,MATCH($D872,Alimentos!$B$5:$B$40,0)))</f>
        <v/>
      </c>
      <c r="J872" s="23" t="str">
        <f aca="false">IF(G872="","",G872/100*INDEX(Alimentos!$G$5:$G$40,MATCH($D872,Alimentos!$B$5:$B$40,0)))</f>
        <v/>
      </c>
      <c r="K872" s="23" t="str">
        <f aca="false">IF(G872="","",G872/100*INDEX(Alimentos!$H$5:$H$40,MATCH($D872,Alimentos!$B$5:$B$40,0)))</f>
        <v/>
      </c>
      <c r="L872" s="24" t="str">
        <f aca="false">IF(OR(A872="",B872=""),"",Perfil!$C$13+(A872-1)*7+MATCH(B872,{"Lunes","Martes","Miércoles","Jueves","Viernes","Sábado","Domingo"},0)-1)</f>
        <v/>
      </c>
    </row>
    <row r="873" customFormat="false" ht="15" hidden="false" customHeight="false" outlineLevel="0" collapsed="false">
      <c r="G873" s="23" t="str">
        <f aca="false">IF(OR(D873="",E873=""),"",E873*IFERROR(VLOOKUP(F873,Perfil!$B$19:$C$24,2,0),1))</f>
        <v/>
      </c>
      <c r="H873" s="23" t="str">
        <f aca="false">IF(G873="","",G873/100*INDEX(Alimentos!$E$5:$E$40,MATCH($D873,Alimentos!$B$5:$B$40,0)))</f>
        <v/>
      </c>
      <c r="I873" s="23" t="str">
        <f aca="false">IF(G873="","",G873/100*INDEX(Alimentos!$F$5:$F$40,MATCH($D873,Alimentos!$B$5:$B$40,0)))</f>
        <v/>
      </c>
      <c r="J873" s="23" t="str">
        <f aca="false">IF(G873="","",G873/100*INDEX(Alimentos!$G$5:$G$40,MATCH($D873,Alimentos!$B$5:$B$40,0)))</f>
        <v/>
      </c>
      <c r="K873" s="23" t="str">
        <f aca="false">IF(G873="","",G873/100*INDEX(Alimentos!$H$5:$H$40,MATCH($D873,Alimentos!$B$5:$B$40,0)))</f>
        <v/>
      </c>
      <c r="L873" s="24" t="str">
        <f aca="false">IF(OR(A873="",B873=""),"",Perfil!$C$13+(A873-1)*7+MATCH(B873,{"Lunes","Martes","Miércoles","Jueves","Viernes","Sábado","Domingo"},0)-1)</f>
        <v/>
      </c>
    </row>
    <row r="874" customFormat="false" ht="15" hidden="false" customHeight="false" outlineLevel="0" collapsed="false">
      <c r="G874" s="23" t="str">
        <f aca="false">IF(OR(D874="",E874=""),"",E874*IFERROR(VLOOKUP(F874,Perfil!$B$19:$C$24,2,0),1))</f>
        <v/>
      </c>
      <c r="H874" s="23" t="str">
        <f aca="false">IF(G874="","",G874/100*INDEX(Alimentos!$E$5:$E$40,MATCH($D874,Alimentos!$B$5:$B$40,0)))</f>
        <v/>
      </c>
      <c r="I874" s="23" t="str">
        <f aca="false">IF(G874="","",G874/100*INDEX(Alimentos!$F$5:$F$40,MATCH($D874,Alimentos!$B$5:$B$40,0)))</f>
        <v/>
      </c>
      <c r="J874" s="23" t="str">
        <f aca="false">IF(G874="","",G874/100*INDEX(Alimentos!$G$5:$G$40,MATCH($D874,Alimentos!$B$5:$B$40,0)))</f>
        <v/>
      </c>
      <c r="K874" s="23" t="str">
        <f aca="false">IF(G874="","",G874/100*INDEX(Alimentos!$H$5:$H$40,MATCH($D874,Alimentos!$B$5:$B$40,0)))</f>
        <v/>
      </c>
      <c r="L874" s="24" t="str">
        <f aca="false">IF(OR(A874="",B874=""),"",Perfil!$C$13+(A874-1)*7+MATCH(B874,{"Lunes","Martes","Miércoles","Jueves","Viernes","Sábado","Domingo"},0)-1)</f>
        <v/>
      </c>
    </row>
    <row r="875" customFormat="false" ht="15" hidden="false" customHeight="false" outlineLevel="0" collapsed="false">
      <c r="G875" s="23" t="str">
        <f aca="false">IF(OR(D875="",E875=""),"",E875*IFERROR(VLOOKUP(F875,Perfil!$B$19:$C$24,2,0),1))</f>
        <v/>
      </c>
      <c r="H875" s="23" t="str">
        <f aca="false">IF(G875="","",G875/100*INDEX(Alimentos!$E$5:$E$40,MATCH($D875,Alimentos!$B$5:$B$40,0)))</f>
        <v/>
      </c>
      <c r="I875" s="23" t="str">
        <f aca="false">IF(G875="","",G875/100*INDEX(Alimentos!$F$5:$F$40,MATCH($D875,Alimentos!$B$5:$B$40,0)))</f>
        <v/>
      </c>
      <c r="J875" s="23" t="str">
        <f aca="false">IF(G875="","",G875/100*INDEX(Alimentos!$G$5:$G$40,MATCH($D875,Alimentos!$B$5:$B$40,0)))</f>
        <v/>
      </c>
      <c r="K875" s="23" t="str">
        <f aca="false">IF(G875="","",G875/100*INDEX(Alimentos!$H$5:$H$40,MATCH($D875,Alimentos!$B$5:$B$40,0)))</f>
        <v/>
      </c>
      <c r="L875" s="24" t="str">
        <f aca="false">IF(OR(A875="",B875=""),"",Perfil!$C$13+(A875-1)*7+MATCH(B875,{"Lunes","Martes","Miércoles","Jueves","Viernes","Sábado","Domingo"},0)-1)</f>
        <v/>
      </c>
    </row>
    <row r="876" customFormat="false" ht="15" hidden="false" customHeight="false" outlineLevel="0" collapsed="false">
      <c r="G876" s="23" t="str">
        <f aca="false">IF(OR(D876="",E876=""),"",E876*IFERROR(VLOOKUP(F876,Perfil!$B$19:$C$24,2,0),1))</f>
        <v/>
      </c>
      <c r="H876" s="23" t="str">
        <f aca="false">IF(G876="","",G876/100*INDEX(Alimentos!$E$5:$E$40,MATCH($D876,Alimentos!$B$5:$B$40,0)))</f>
        <v/>
      </c>
      <c r="I876" s="23" t="str">
        <f aca="false">IF(G876="","",G876/100*INDEX(Alimentos!$F$5:$F$40,MATCH($D876,Alimentos!$B$5:$B$40,0)))</f>
        <v/>
      </c>
      <c r="J876" s="23" t="str">
        <f aca="false">IF(G876="","",G876/100*INDEX(Alimentos!$G$5:$G$40,MATCH($D876,Alimentos!$B$5:$B$40,0)))</f>
        <v/>
      </c>
      <c r="K876" s="23" t="str">
        <f aca="false">IF(G876="","",G876/100*INDEX(Alimentos!$H$5:$H$40,MATCH($D876,Alimentos!$B$5:$B$40,0)))</f>
        <v/>
      </c>
      <c r="L876" s="24" t="str">
        <f aca="false">IF(OR(A876="",B876=""),"",Perfil!$C$13+(A876-1)*7+MATCH(B876,{"Lunes","Martes","Miércoles","Jueves","Viernes","Sábado","Domingo"},0)-1)</f>
        <v/>
      </c>
    </row>
    <row r="877" customFormat="false" ht="15" hidden="false" customHeight="false" outlineLevel="0" collapsed="false">
      <c r="G877" s="23" t="str">
        <f aca="false">IF(OR(D877="",E877=""),"",E877*IFERROR(VLOOKUP(F877,Perfil!$B$19:$C$24,2,0),1))</f>
        <v/>
      </c>
      <c r="H877" s="23" t="str">
        <f aca="false">IF(G877="","",G877/100*INDEX(Alimentos!$E$5:$E$40,MATCH($D877,Alimentos!$B$5:$B$40,0)))</f>
        <v/>
      </c>
      <c r="I877" s="23" t="str">
        <f aca="false">IF(G877="","",G877/100*INDEX(Alimentos!$F$5:$F$40,MATCH($D877,Alimentos!$B$5:$B$40,0)))</f>
        <v/>
      </c>
      <c r="J877" s="23" t="str">
        <f aca="false">IF(G877="","",G877/100*INDEX(Alimentos!$G$5:$G$40,MATCH($D877,Alimentos!$B$5:$B$40,0)))</f>
        <v/>
      </c>
      <c r="K877" s="23" t="str">
        <f aca="false">IF(G877="","",G877/100*INDEX(Alimentos!$H$5:$H$40,MATCH($D877,Alimentos!$B$5:$B$40,0)))</f>
        <v/>
      </c>
      <c r="L877" s="24" t="str">
        <f aca="false">IF(OR(A877="",B877=""),"",Perfil!$C$13+(A877-1)*7+MATCH(B877,{"Lunes","Martes","Miércoles","Jueves","Viernes","Sábado","Domingo"},0)-1)</f>
        <v/>
      </c>
    </row>
    <row r="878" customFormat="false" ht="15" hidden="false" customHeight="false" outlineLevel="0" collapsed="false">
      <c r="G878" s="23" t="str">
        <f aca="false">IF(OR(D878="",E878=""),"",E878*IFERROR(VLOOKUP(F878,Perfil!$B$19:$C$24,2,0),1))</f>
        <v/>
      </c>
      <c r="H878" s="23" t="str">
        <f aca="false">IF(G878="","",G878/100*INDEX(Alimentos!$E$5:$E$40,MATCH($D878,Alimentos!$B$5:$B$40,0)))</f>
        <v/>
      </c>
      <c r="I878" s="23" t="str">
        <f aca="false">IF(G878="","",G878/100*INDEX(Alimentos!$F$5:$F$40,MATCH($D878,Alimentos!$B$5:$B$40,0)))</f>
        <v/>
      </c>
      <c r="J878" s="23" t="str">
        <f aca="false">IF(G878="","",G878/100*INDEX(Alimentos!$G$5:$G$40,MATCH($D878,Alimentos!$B$5:$B$40,0)))</f>
        <v/>
      </c>
      <c r="K878" s="23" t="str">
        <f aca="false">IF(G878="","",G878/100*INDEX(Alimentos!$H$5:$H$40,MATCH($D878,Alimentos!$B$5:$B$40,0)))</f>
        <v/>
      </c>
      <c r="L878" s="24" t="str">
        <f aca="false">IF(OR(A878="",B878=""),"",Perfil!$C$13+(A878-1)*7+MATCH(B878,{"Lunes","Martes","Miércoles","Jueves","Viernes","Sábado","Domingo"},0)-1)</f>
        <v/>
      </c>
    </row>
    <row r="879" customFormat="false" ht="15" hidden="false" customHeight="false" outlineLevel="0" collapsed="false">
      <c r="G879" s="23" t="str">
        <f aca="false">IF(OR(D879="",E879=""),"",E879*IFERROR(VLOOKUP(F879,Perfil!$B$19:$C$24,2,0),1))</f>
        <v/>
      </c>
      <c r="H879" s="23" t="str">
        <f aca="false">IF(G879="","",G879/100*INDEX(Alimentos!$E$5:$E$40,MATCH($D879,Alimentos!$B$5:$B$40,0)))</f>
        <v/>
      </c>
      <c r="I879" s="23" t="str">
        <f aca="false">IF(G879="","",G879/100*INDEX(Alimentos!$F$5:$F$40,MATCH($D879,Alimentos!$B$5:$B$40,0)))</f>
        <v/>
      </c>
      <c r="J879" s="23" t="str">
        <f aca="false">IF(G879="","",G879/100*INDEX(Alimentos!$G$5:$G$40,MATCH($D879,Alimentos!$B$5:$B$40,0)))</f>
        <v/>
      </c>
      <c r="K879" s="23" t="str">
        <f aca="false">IF(G879="","",G879/100*INDEX(Alimentos!$H$5:$H$40,MATCH($D879,Alimentos!$B$5:$B$40,0)))</f>
        <v/>
      </c>
      <c r="L879" s="24" t="str">
        <f aca="false">IF(OR(A879="",B879=""),"",Perfil!$C$13+(A879-1)*7+MATCH(B879,{"Lunes","Martes","Miércoles","Jueves","Viernes","Sábado","Domingo"},0)-1)</f>
        <v/>
      </c>
    </row>
    <row r="880" customFormat="false" ht="15" hidden="false" customHeight="false" outlineLevel="0" collapsed="false">
      <c r="G880" s="23" t="str">
        <f aca="false">IF(OR(D880="",E880=""),"",E880*IFERROR(VLOOKUP(F880,Perfil!$B$19:$C$24,2,0),1))</f>
        <v/>
      </c>
      <c r="H880" s="23" t="str">
        <f aca="false">IF(G880="","",G880/100*INDEX(Alimentos!$E$5:$E$40,MATCH($D880,Alimentos!$B$5:$B$40,0)))</f>
        <v/>
      </c>
      <c r="I880" s="23" t="str">
        <f aca="false">IF(G880="","",G880/100*INDEX(Alimentos!$F$5:$F$40,MATCH($D880,Alimentos!$B$5:$B$40,0)))</f>
        <v/>
      </c>
      <c r="J880" s="23" t="str">
        <f aca="false">IF(G880="","",G880/100*INDEX(Alimentos!$G$5:$G$40,MATCH($D880,Alimentos!$B$5:$B$40,0)))</f>
        <v/>
      </c>
      <c r="K880" s="23" t="str">
        <f aca="false">IF(G880="","",G880/100*INDEX(Alimentos!$H$5:$H$40,MATCH($D880,Alimentos!$B$5:$B$40,0)))</f>
        <v/>
      </c>
      <c r="L880" s="24" t="str">
        <f aca="false">IF(OR(A880="",B880=""),"",Perfil!$C$13+(A880-1)*7+MATCH(B880,{"Lunes","Martes","Miércoles","Jueves","Viernes","Sábado","Domingo"},0)-1)</f>
        <v/>
      </c>
    </row>
    <row r="881" customFormat="false" ht="15" hidden="false" customHeight="false" outlineLevel="0" collapsed="false">
      <c r="G881" s="23" t="str">
        <f aca="false">IF(OR(D881="",E881=""),"",E881*IFERROR(VLOOKUP(F881,Perfil!$B$19:$C$24,2,0),1))</f>
        <v/>
      </c>
      <c r="H881" s="23" t="str">
        <f aca="false">IF(G881="","",G881/100*INDEX(Alimentos!$E$5:$E$40,MATCH($D881,Alimentos!$B$5:$B$40,0)))</f>
        <v/>
      </c>
      <c r="I881" s="23" t="str">
        <f aca="false">IF(G881="","",G881/100*INDEX(Alimentos!$F$5:$F$40,MATCH($D881,Alimentos!$B$5:$B$40,0)))</f>
        <v/>
      </c>
      <c r="J881" s="23" t="str">
        <f aca="false">IF(G881="","",G881/100*INDEX(Alimentos!$G$5:$G$40,MATCH($D881,Alimentos!$B$5:$B$40,0)))</f>
        <v/>
      </c>
      <c r="K881" s="23" t="str">
        <f aca="false">IF(G881="","",G881/100*INDEX(Alimentos!$H$5:$H$40,MATCH($D881,Alimentos!$B$5:$B$40,0)))</f>
        <v/>
      </c>
      <c r="L881" s="24" t="str">
        <f aca="false">IF(OR(A881="",B881=""),"",Perfil!$C$13+(A881-1)*7+MATCH(B881,{"Lunes","Martes","Miércoles","Jueves","Viernes","Sábado","Domingo"},0)-1)</f>
        <v/>
      </c>
    </row>
    <row r="882" customFormat="false" ht="15" hidden="false" customHeight="false" outlineLevel="0" collapsed="false">
      <c r="G882" s="23" t="str">
        <f aca="false">IF(OR(D882="",E882=""),"",E882*IFERROR(VLOOKUP(F882,Perfil!$B$19:$C$24,2,0),1))</f>
        <v/>
      </c>
      <c r="H882" s="23" t="str">
        <f aca="false">IF(G882="","",G882/100*INDEX(Alimentos!$E$5:$E$40,MATCH($D882,Alimentos!$B$5:$B$40,0)))</f>
        <v/>
      </c>
      <c r="I882" s="23" t="str">
        <f aca="false">IF(G882="","",G882/100*INDEX(Alimentos!$F$5:$F$40,MATCH($D882,Alimentos!$B$5:$B$40,0)))</f>
        <v/>
      </c>
      <c r="J882" s="23" t="str">
        <f aca="false">IF(G882="","",G882/100*INDEX(Alimentos!$G$5:$G$40,MATCH($D882,Alimentos!$B$5:$B$40,0)))</f>
        <v/>
      </c>
      <c r="K882" s="23" t="str">
        <f aca="false">IF(G882="","",G882/100*INDEX(Alimentos!$H$5:$H$40,MATCH($D882,Alimentos!$B$5:$B$40,0)))</f>
        <v/>
      </c>
      <c r="L882" s="24" t="str">
        <f aca="false">IF(OR(A882="",B882=""),"",Perfil!$C$13+(A882-1)*7+MATCH(B882,{"Lunes","Martes","Miércoles","Jueves","Viernes","Sábado","Domingo"},0)-1)</f>
        <v/>
      </c>
    </row>
    <row r="883" customFormat="false" ht="15" hidden="false" customHeight="false" outlineLevel="0" collapsed="false">
      <c r="G883" s="23" t="str">
        <f aca="false">IF(OR(D883="",E883=""),"",E883*IFERROR(VLOOKUP(F883,Perfil!$B$19:$C$24,2,0),1))</f>
        <v/>
      </c>
      <c r="H883" s="23" t="str">
        <f aca="false">IF(G883="","",G883/100*INDEX(Alimentos!$E$5:$E$40,MATCH($D883,Alimentos!$B$5:$B$40,0)))</f>
        <v/>
      </c>
      <c r="I883" s="23" t="str">
        <f aca="false">IF(G883="","",G883/100*INDEX(Alimentos!$F$5:$F$40,MATCH($D883,Alimentos!$B$5:$B$40,0)))</f>
        <v/>
      </c>
      <c r="J883" s="23" t="str">
        <f aca="false">IF(G883="","",G883/100*INDEX(Alimentos!$G$5:$G$40,MATCH($D883,Alimentos!$B$5:$B$40,0)))</f>
        <v/>
      </c>
      <c r="K883" s="23" t="str">
        <f aca="false">IF(G883="","",G883/100*INDEX(Alimentos!$H$5:$H$40,MATCH($D883,Alimentos!$B$5:$B$40,0)))</f>
        <v/>
      </c>
      <c r="L883" s="24" t="str">
        <f aca="false">IF(OR(A883="",B883=""),"",Perfil!$C$13+(A883-1)*7+MATCH(B883,{"Lunes","Martes","Miércoles","Jueves","Viernes","Sábado","Domingo"},0)-1)</f>
        <v/>
      </c>
    </row>
    <row r="884" customFormat="false" ht="15" hidden="false" customHeight="false" outlineLevel="0" collapsed="false">
      <c r="G884" s="23" t="str">
        <f aca="false">IF(OR(D884="",E884=""),"",E884*IFERROR(VLOOKUP(F884,Perfil!$B$19:$C$24,2,0),1))</f>
        <v/>
      </c>
      <c r="H884" s="23" t="str">
        <f aca="false">IF(G884="","",G884/100*INDEX(Alimentos!$E$5:$E$40,MATCH($D884,Alimentos!$B$5:$B$40,0)))</f>
        <v/>
      </c>
      <c r="I884" s="23" t="str">
        <f aca="false">IF(G884="","",G884/100*INDEX(Alimentos!$F$5:$F$40,MATCH($D884,Alimentos!$B$5:$B$40,0)))</f>
        <v/>
      </c>
      <c r="J884" s="23" t="str">
        <f aca="false">IF(G884="","",G884/100*INDEX(Alimentos!$G$5:$G$40,MATCH($D884,Alimentos!$B$5:$B$40,0)))</f>
        <v/>
      </c>
      <c r="K884" s="23" t="str">
        <f aca="false">IF(G884="","",G884/100*INDEX(Alimentos!$H$5:$H$40,MATCH($D884,Alimentos!$B$5:$B$40,0)))</f>
        <v/>
      </c>
      <c r="L884" s="24" t="str">
        <f aca="false">IF(OR(A884="",B884=""),"",Perfil!$C$13+(A884-1)*7+MATCH(B884,{"Lunes","Martes","Miércoles","Jueves","Viernes","Sábado","Domingo"},0)-1)</f>
        <v/>
      </c>
    </row>
    <row r="885" customFormat="false" ht="15" hidden="false" customHeight="false" outlineLevel="0" collapsed="false">
      <c r="G885" s="23" t="str">
        <f aca="false">IF(OR(D885="",E885=""),"",E885*IFERROR(VLOOKUP(F885,Perfil!$B$19:$C$24,2,0),1))</f>
        <v/>
      </c>
      <c r="H885" s="23" t="str">
        <f aca="false">IF(G885="","",G885/100*INDEX(Alimentos!$E$5:$E$40,MATCH($D885,Alimentos!$B$5:$B$40,0)))</f>
        <v/>
      </c>
      <c r="I885" s="23" t="str">
        <f aca="false">IF(G885="","",G885/100*INDEX(Alimentos!$F$5:$F$40,MATCH($D885,Alimentos!$B$5:$B$40,0)))</f>
        <v/>
      </c>
      <c r="J885" s="23" t="str">
        <f aca="false">IF(G885="","",G885/100*INDEX(Alimentos!$G$5:$G$40,MATCH($D885,Alimentos!$B$5:$B$40,0)))</f>
        <v/>
      </c>
      <c r="K885" s="23" t="str">
        <f aca="false">IF(G885="","",G885/100*INDEX(Alimentos!$H$5:$H$40,MATCH($D885,Alimentos!$B$5:$B$40,0)))</f>
        <v/>
      </c>
      <c r="L885" s="24" t="str">
        <f aca="false">IF(OR(A885="",B885=""),"",Perfil!$C$13+(A885-1)*7+MATCH(B885,{"Lunes","Martes","Miércoles","Jueves","Viernes","Sábado","Domingo"},0)-1)</f>
        <v/>
      </c>
    </row>
    <row r="886" customFormat="false" ht="15" hidden="false" customHeight="false" outlineLevel="0" collapsed="false">
      <c r="G886" s="23" t="str">
        <f aca="false">IF(OR(D886="",E886=""),"",E886*IFERROR(VLOOKUP(F886,Perfil!$B$19:$C$24,2,0),1))</f>
        <v/>
      </c>
      <c r="H886" s="23" t="str">
        <f aca="false">IF(G886="","",G886/100*INDEX(Alimentos!$E$5:$E$40,MATCH($D886,Alimentos!$B$5:$B$40,0)))</f>
        <v/>
      </c>
      <c r="I886" s="23" t="str">
        <f aca="false">IF(G886="","",G886/100*INDEX(Alimentos!$F$5:$F$40,MATCH($D886,Alimentos!$B$5:$B$40,0)))</f>
        <v/>
      </c>
      <c r="J886" s="23" t="str">
        <f aca="false">IF(G886="","",G886/100*INDEX(Alimentos!$G$5:$G$40,MATCH($D886,Alimentos!$B$5:$B$40,0)))</f>
        <v/>
      </c>
      <c r="K886" s="23" t="str">
        <f aca="false">IF(G886="","",G886/100*INDEX(Alimentos!$H$5:$H$40,MATCH($D886,Alimentos!$B$5:$B$40,0)))</f>
        <v/>
      </c>
      <c r="L886" s="24" t="str">
        <f aca="false">IF(OR(A886="",B886=""),"",Perfil!$C$13+(A886-1)*7+MATCH(B886,{"Lunes","Martes","Miércoles","Jueves","Viernes","Sábado","Domingo"},0)-1)</f>
        <v/>
      </c>
    </row>
    <row r="887" customFormat="false" ht="15" hidden="false" customHeight="false" outlineLevel="0" collapsed="false">
      <c r="G887" s="23" t="str">
        <f aca="false">IF(OR(D887="",E887=""),"",E887*IFERROR(VLOOKUP(F887,Perfil!$B$19:$C$24,2,0),1))</f>
        <v/>
      </c>
      <c r="H887" s="23" t="str">
        <f aca="false">IF(G887="","",G887/100*INDEX(Alimentos!$E$5:$E$40,MATCH($D887,Alimentos!$B$5:$B$40,0)))</f>
        <v/>
      </c>
      <c r="I887" s="23" t="str">
        <f aca="false">IF(G887="","",G887/100*INDEX(Alimentos!$F$5:$F$40,MATCH($D887,Alimentos!$B$5:$B$40,0)))</f>
        <v/>
      </c>
      <c r="J887" s="23" t="str">
        <f aca="false">IF(G887="","",G887/100*INDEX(Alimentos!$G$5:$G$40,MATCH($D887,Alimentos!$B$5:$B$40,0)))</f>
        <v/>
      </c>
      <c r="K887" s="23" t="str">
        <f aca="false">IF(G887="","",G887/100*INDEX(Alimentos!$H$5:$H$40,MATCH($D887,Alimentos!$B$5:$B$40,0)))</f>
        <v/>
      </c>
      <c r="L887" s="24" t="str">
        <f aca="false">IF(OR(A887="",B887=""),"",Perfil!$C$13+(A887-1)*7+MATCH(B887,{"Lunes","Martes","Miércoles","Jueves","Viernes","Sábado","Domingo"},0)-1)</f>
        <v/>
      </c>
    </row>
    <row r="888" customFormat="false" ht="15" hidden="false" customHeight="false" outlineLevel="0" collapsed="false">
      <c r="G888" s="23" t="str">
        <f aca="false">IF(OR(D888="",E888=""),"",E888*IFERROR(VLOOKUP(F888,Perfil!$B$19:$C$24,2,0),1))</f>
        <v/>
      </c>
      <c r="H888" s="23" t="str">
        <f aca="false">IF(G888="","",G888/100*INDEX(Alimentos!$E$5:$E$40,MATCH($D888,Alimentos!$B$5:$B$40,0)))</f>
        <v/>
      </c>
      <c r="I888" s="23" t="str">
        <f aca="false">IF(G888="","",G888/100*INDEX(Alimentos!$F$5:$F$40,MATCH($D888,Alimentos!$B$5:$B$40,0)))</f>
        <v/>
      </c>
      <c r="J888" s="23" t="str">
        <f aca="false">IF(G888="","",G888/100*INDEX(Alimentos!$G$5:$G$40,MATCH($D888,Alimentos!$B$5:$B$40,0)))</f>
        <v/>
      </c>
      <c r="K888" s="23" t="str">
        <f aca="false">IF(G888="","",G888/100*INDEX(Alimentos!$H$5:$H$40,MATCH($D888,Alimentos!$B$5:$B$40,0)))</f>
        <v/>
      </c>
      <c r="L888" s="24" t="str">
        <f aca="false">IF(OR(A888="",B888=""),"",Perfil!$C$13+(A888-1)*7+MATCH(B888,{"Lunes","Martes","Miércoles","Jueves","Viernes","Sábado","Domingo"},0)-1)</f>
        <v/>
      </c>
    </row>
    <row r="889" customFormat="false" ht="15" hidden="false" customHeight="false" outlineLevel="0" collapsed="false">
      <c r="G889" s="23" t="str">
        <f aca="false">IF(OR(D889="",E889=""),"",E889*IFERROR(VLOOKUP(F889,Perfil!$B$19:$C$24,2,0),1))</f>
        <v/>
      </c>
      <c r="H889" s="23" t="str">
        <f aca="false">IF(G889="","",G889/100*INDEX(Alimentos!$E$5:$E$40,MATCH($D889,Alimentos!$B$5:$B$40,0)))</f>
        <v/>
      </c>
      <c r="I889" s="23" t="str">
        <f aca="false">IF(G889="","",G889/100*INDEX(Alimentos!$F$5:$F$40,MATCH($D889,Alimentos!$B$5:$B$40,0)))</f>
        <v/>
      </c>
      <c r="J889" s="23" t="str">
        <f aca="false">IF(G889="","",G889/100*INDEX(Alimentos!$G$5:$G$40,MATCH($D889,Alimentos!$B$5:$B$40,0)))</f>
        <v/>
      </c>
      <c r="K889" s="23" t="str">
        <f aca="false">IF(G889="","",G889/100*INDEX(Alimentos!$H$5:$H$40,MATCH($D889,Alimentos!$B$5:$B$40,0)))</f>
        <v/>
      </c>
      <c r="L889" s="24" t="str">
        <f aca="false">IF(OR(A889="",B889=""),"",Perfil!$C$13+(A889-1)*7+MATCH(B889,{"Lunes","Martes","Miércoles","Jueves","Viernes","Sábado","Domingo"},0)-1)</f>
        <v/>
      </c>
    </row>
    <row r="890" customFormat="false" ht="15" hidden="false" customHeight="false" outlineLevel="0" collapsed="false">
      <c r="G890" s="23" t="str">
        <f aca="false">IF(OR(D890="",E890=""),"",E890*IFERROR(VLOOKUP(F890,Perfil!$B$19:$C$24,2,0),1))</f>
        <v/>
      </c>
      <c r="H890" s="23" t="str">
        <f aca="false">IF(G890="","",G890/100*INDEX(Alimentos!$E$5:$E$40,MATCH($D890,Alimentos!$B$5:$B$40,0)))</f>
        <v/>
      </c>
      <c r="I890" s="23" t="str">
        <f aca="false">IF(G890="","",G890/100*INDEX(Alimentos!$F$5:$F$40,MATCH($D890,Alimentos!$B$5:$B$40,0)))</f>
        <v/>
      </c>
      <c r="J890" s="23" t="str">
        <f aca="false">IF(G890="","",G890/100*INDEX(Alimentos!$G$5:$G$40,MATCH($D890,Alimentos!$B$5:$B$40,0)))</f>
        <v/>
      </c>
      <c r="K890" s="23" t="str">
        <f aca="false">IF(G890="","",G890/100*INDEX(Alimentos!$H$5:$H$40,MATCH($D890,Alimentos!$B$5:$B$40,0)))</f>
        <v/>
      </c>
      <c r="L890" s="24" t="str">
        <f aca="false">IF(OR(A890="",B890=""),"",Perfil!$C$13+(A890-1)*7+MATCH(B890,{"Lunes","Martes","Miércoles","Jueves","Viernes","Sábado","Domingo"},0)-1)</f>
        <v/>
      </c>
    </row>
    <row r="891" customFormat="false" ht="15" hidden="false" customHeight="false" outlineLevel="0" collapsed="false">
      <c r="G891" s="23" t="str">
        <f aca="false">IF(OR(D891="",E891=""),"",E891*IFERROR(VLOOKUP(F891,Perfil!$B$19:$C$24,2,0),1))</f>
        <v/>
      </c>
      <c r="H891" s="23" t="str">
        <f aca="false">IF(G891="","",G891/100*INDEX(Alimentos!$E$5:$E$40,MATCH($D891,Alimentos!$B$5:$B$40,0)))</f>
        <v/>
      </c>
      <c r="I891" s="23" t="str">
        <f aca="false">IF(G891="","",G891/100*INDEX(Alimentos!$F$5:$F$40,MATCH($D891,Alimentos!$B$5:$B$40,0)))</f>
        <v/>
      </c>
      <c r="J891" s="23" t="str">
        <f aca="false">IF(G891="","",G891/100*INDEX(Alimentos!$G$5:$G$40,MATCH($D891,Alimentos!$B$5:$B$40,0)))</f>
        <v/>
      </c>
      <c r="K891" s="23" t="str">
        <f aca="false">IF(G891="","",G891/100*INDEX(Alimentos!$H$5:$H$40,MATCH($D891,Alimentos!$B$5:$B$40,0)))</f>
        <v/>
      </c>
      <c r="L891" s="24" t="str">
        <f aca="false">IF(OR(A891="",B891=""),"",Perfil!$C$13+(A891-1)*7+MATCH(B891,{"Lunes","Martes","Miércoles","Jueves","Viernes","Sábado","Domingo"},0)-1)</f>
        <v/>
      </c>
    </row>
    <row r="892" customFormat="false" ht="15" hidden="false" customHeight="false" outlineLevel="0" collapsed="false">
      <c r="G892" s="23" t="str">
        <f aca="false">IF(OR(D892="",E892=""),"",E892*IFERROR(VLOOKUP(F892,Perfil!$B$19:$C$24,2,0),1))</f>
        <v/>
      </c>
      <c r="H892" s="23" t="str">
        <f aca="false">IF(G892="","",G892/100*INDEX(Alimentos!$E$5:$E$40,MATCH($D892,Alimentos!$B$5:$B$40,0)))</f>
        <v/>
      </c>
      <c r="I892" s="23" t="str">
        <f aca="false">IF(G892="","",G892/100*INDEX(Alimentos!$F$5:$F$40,MATCH($D892,Alimentos!$B$5:$B$40,0)))</f>
        <v/>
      </c>
      <c r="J892" s="23" t="str">
        <f aca="false">IF(G892="","",G892/100*INDEX(Alimentos!$G$5:$G$40,MATCH($D892,Alimentos!$B$5:$B$40,0)))</f>
        <v/>
      </c>
      <c r="K892" s="23" t="str">
        <f aca="false">IF(G892="","",G892/100*INDEX(Alimentos!$H$5:$H$40,MATCH($D892,Alimentos!$B$5:$B$40,0)))</f>
        <v/>
      </c>
      <c r="L892" s="24" t="str">
        <f aca="false">IF(OR(A892="",B892=""),"",Perfil!$C$13+(A892-1)*7+MATCH(B892,{"Lunes","Martes","Miércoles","Jueves","Viernes","Sábado","Domingo"},0)-1)</f>
        <v/>
      </c>
    </row>
    <row r="893" customFormat="false" ht="15" hidden="false" customHeight="false" outlineLevel="0" collapsed="false">
      <c r="G893" s="23" t="str">
        <f aca="false">IF(OR(D893="",E893=""),"",E893*IFERROR(VLOOKUP(F893,Perfil!$B$19:$C$24,2,0),1))</f>
        <v/>
      </c>
      <c r="H893" s="23" t="str">
        <f aca="false">IF(G893="","",G893/100*INDEX(Alimentos!$E$5:$E$40,MATCH($D893,Alimentos!$B$5:$B$40,0)))</f>
        <v/>
      </c>
      <c r="I893" s="23" t="str">
        <f aca="false">IF(G893="","",G893/100*INDEX(Alimentos!$F$5:$F$40,MATCH($D893,Alimentos!$B$5:$B$40,0)))</f>
        <v/>
      </c>
      <c r="J893" s="23" t="str">
        <f aca="false">IF(G893="","",G893/100*INDEX(Alimentos!$G$5:$G$40,MATCH($D893,Alimentos!$B$5:$B$40,0)))</f>
        <v/>
      </c>
      <c r="K893" s="23" t="str">
        <f aca="false">IF(G893="","",G893/100*INDEX(Alimentos!$H$5:$H$40,MATCH($D893,Alimentos!$B$5:$B$40,0)))</f>
        <v/>
      </c>
      <c r="L893" s="24" t="str">
        <f aca="false">IF(OR(A893="",B893=""),"",Perfil!$C$13+(A893-1)*7+MATCH(B893,{"Lunes","Martes","Miércoles","Jueves","Viernes","Sábado","Domingo"},0)-1)</f>
        <v/>
      </c>
    </row>
    <row r="894" customFormat="false" ht="15" hidden="false" customHeight="false" outlineLevel="0" collapsed="false">
      <c r="G894" s="23" t="str">
        <f aca="false">IF(OR(D894="",E894=""),"",E894*IFERROR(VLOOKUP(F894,Perfil!$B$19:$C$24,2,0),1))</f>
        <v/>
      </c>
      <c r="H894" s="23" t="str">
        <f aca="false">IF(G894="","",G894/100*INDEX(Alimentos!$E$5:$E$40,MATCH($D894,Alimentos!$B$5:$B$40,0)))</f>
        <v/>
      </c>
      <c r="I894" s="23" t="str">
        <f aca="false">IF(G894="","",G894/100*INDEX(Alimentos!$F$5:$F$40,MATCH($D894,Alimentos!$B$5:$B$40,0)))</f>
        <v/>
      </c>
      <c r="J894" s="23" t="str">
        <f aca="false">IF(G894="","",G894/100*INDEX(Alimentos!$G$5:$G$40,MATCH($D894,Alimentos!$B$5:$B$40,0)))</f>
        <v/>
      </c>
      <c r="K894" s="23" t="str">
        <f aca="false">IF(G894="","",G894/100*INDEX(Alimentos!$H$5:$H$40,MATCH($D894,Alimentos!$B$5:$B$40,0)))</f>
        <v/>
      </c>
      <c r="L894" s="24" t="str">
        <f aca="false">IF(OR(A894="",B894=""),"",Perfil!$C$13+(A894-1)*7+MATCH(B894,{"Lunes","Martes","Miércoles","Jueves","Viernes","Sábado","Domingo"},0)-1)</f>
        <v/>
      </c>
    </row>
    <row r="895" customFormat="false" ht="15" hidden="false" customHeight="false" outlineLevel="0" collapsed="false">
      <c r="G895" s="23" t="str">
        <f aca="false">IF(OR(D895="",E895=""),"",E895*IFERROR(VLOOKUP(F895,Perfil!$B$19:$C$24,2,0),1))</f>
        <v/>
      </c>
      <c r="H895" s="23" t="str">
        <f aca="false">IF(G895="","",G895/100*INDEX(Alimentos!$E$5:$E$40,MATCH($D895,Alimentos!$B$5:$B$40,0)))</f>
        <v/>
      </c>
      <c r="I895" s="23" t="str">
        <f aca="false">IF(G895="","",G895/100*INDEX(Alimentos!$F$5:$F$40,MATCH($D895,Alimentos!$B$5:$B$40,0)))</f>
        <v/>
      </c>
      <c r="J895" s="23" t="str">
        <f aca="false">IF(G895="","",G895/100*INDEX(Alimentos!$G$5:$G$40,MATCH($D895,Alimentos!$B$5:$B$40,0)))</f>
        <v/>
      </c>
      <c r="K895" s="23" t="str">
        <f aca="false">IF(G895="","",G895/100*INDEX(Alimentos!$H$5:$H$40,MATCH($D895,Alimentos!$B$5:$B$40,0)))</f>
        <v/>
      </c>
      <c r="L895" s="24" t="str">
        <f aca="false">IF(OR(A895="",B895=""),"",Perfil!$C$13+(A895-1)*7+MATCH(B895,{"Lunes","Martes","Miércoles","Jueves","Viernes","Sábado","Domingo"},0)-1)</f>
        <v/>
      </c>
    </row>
    <row r="896" customFormat="false" ht="15" hidden="false" customHeight="false" outlineLevel="0" collapsed="false">
      <c r="G896" s="23" t="str">
        <f aca="false">IF(OR(D896="",E896=""),"",E896*IFERROR(VLOOKUP(F896,Perfil!$B$19:$C$24,2,0),1))</f>
        <v/>
      </c>
      <c r="H896" s="23" t="str">
        <f aca="false">IF(G896="","",G896/100*INDEX(Alimentos!$E$5:$E$40,MATCH($D896,Alimentos!$B$5:$B$40,0)))</f>
        <v/>
      </c>
      <c r="I896" s="23" t="str">
        <f aca="false">IF(G896="","",G896/100*INDEX(Alimentos!$F$5:$F$40,MATCH($D896,Alimentos!$B$5:$B$40,0)))</f>
        <v/>
      </c>
      <c r="J896" s="23" t="str">
        <f aca="false">IF(G896="","",G896/100*INDEX(Alimentos!$G$5:$G$40,MATCH($D896,Alimentos!$B$5:$B$40,0)))</f>
        <v/>
      </c>
      <c r="K896" s="23" t="str">
        <f aca="false">IF(G896="","",G896/100*INDEX(Alimentos!$H$5:$H$40,MATCH($D896,Alimentos!$B$5:$B$40,0)))</f>
        <v/>
      </c>
      <c r="L896" s="24" t="str">
        <f aca="false">IF(OR(A896="",B896=""),"",Perfil!$C$13+(A896-1)*7+MATCH(B896,{"Lunes","Martes","Miércoles","Jueves","Viernes","Sábado","Domingo"},0)-1)</f>
        <v/>
      </c>
    </row>
    <row r="897" customFormat="false" ht="15" hidden="false" customHeight="false" outlineLevel="0" collapsed="false">
      <c r="G897" s="23" t="str">
        <f aca="false">IF(OR(D897="",E897=""),"",E897*IFERROR(VLOOKUP(F897,Perfil!$B$19:$C$24,2,0),1))</f>
        <v/>
      </c>
      <c r="H897" s="23" t="str">
        <f aca="false">IF(G897="","",G897/100*INDEX(Alimentos!$E$5:$E$40,MATCH($D897,Alimentos!$B$5:$B$40,0)))</f>
        <v/>
      </c>
      <c r="I897" s="23" t="str">
        <f aca="false">IF(G897="","",G897/100*INDEX(Alimentos!$F$5:$F$40,MATCH($D897,Alimentos!$B$5:$B$40,0)))</f>
        <v/>
      </c>
      <c r="J897" s="23" t="str">
        <f aca="false">IF(G897="","",G897/100*INDEX(Alimentos!$G$5:$G$40,MATCH($D897,Alimentos!$B$5:$B$40,0)))</f>
        <v/>
      </c>
      <c r="K897" s="23" t="str">
        <f aca="false">IF(G897="","",G897/100*INDEX(Alimentos!$H$5:$H$40,MATCH($D897,Alimentos!$B$5:$B$40,0)))</f>
        <v/>
      </c>
      <c r="L897" s="24" t="str">
        <f aca="false">IF(OR(A897="",B897=""),"",Perfil!$C$13+(A897-1)*7+MATCH(B897,{"Lunes","Martes","Miércoles","Jueves","Viernes","Sábado","Domingo"},0)-1)</f>
        <v/>
      </c>
    </row>
    <row r="898" customFormat="false" ht="15" hidden="false" customHeight="false" outlineLevel="0" collapsed="false">
      <c r="G898" s="23" t="str">
        <f aca="false">IF(OR(D898="",E898=""),"",E898*IFERROR(VLOOKUP(F898,Perfil!$B$19:$C$24,2,0),1))</f>
        <v/>
      </c>
      <c r="H898" s="23" t="str">
        <f aca="false">IF(G898="","",G898/100*INDEX(Alimentos!$E$5:$E$40,MATCH($D898,Alimentos!$B$5:$B$40,0)))</f>
        <v/>
      </c>
      <c r="I898" s="23" t="str">
        <f aca="false">IF(G898="","",G898/100*INDEX(Alimentos!$F$5:$F$40,MATCH($D898,Alimentos!$B$5:$B$40,0)))</f>
        <v/>
      </c>
      <c r="J898" s="23" t="str">
        <f aca="false">IF(G898="","",G898/100*INDEX(Alimentos!$G$5:$G$40,MATCH($D898,Alimentos!$B$5:$B$40,0)))</f>
        <v/>
      </c>
      <c r="K898" s="23" t="str">
        <f aca="false">IF(G898="","",G898/100*INDEX(Alimentos!$H$5:$H$40,MATCH($D898,Alimentos!$B$5:$B$40,0)))</f>
        <v/>
      </c>
      <c r="L898" s="24" t="str">
        <f aca="false">IF(OR(A898="",B898=""),"",Perfil!$C$13+(A898-1)*7+MATCH(B898,{"Lunes","Martes","Miércoles","Jueves","Viernes","Sábado","Domingo"},0)-1)</f>
        <v/>
      </c>
    </row>
    <row r="899" customFormat="false" ht="15" hidden="false" customHeight="false" outlineLevel="0" collapsed="false">
      <c r="G899" s="23" t="str">
        <f aca="false">IF(OR(D899="",E899=""),"",E899*IFERROR(VLOOKUP(F899,Perfil!$B$19:$C$24,2,0),1))</f>
        <v/>
      </c>
      <c r="H899" s="23" t="str">
        <f aca="false">IF(G899="","",G899/100*INDEX(Alimentos!$E$5:$E$40,MATCH($D899,Alimentos!$B$5:$B$40,0)))</f>
        <v/>
      </c>
      <c r="I899" s="23" t="str">
        <f aca="false">IF(G899="","",G899/100*INDEX(Alimentos!$F$5:$F$40,MATCH($D899,Alimentos!$B$5:$B$40,0)))</f>
        <v/>
      </c>
      <c r="J899" s="23" t="str">
        <f aca="false">IF(G899="","",G899/100*INDEX(Alimentos!$G$5:$G$40,MATCH($D899,Alimentos!$B$5:$B$40,0)))</f>
        <v/>
      </c>
      <c r="K899" s="23" t="str">
        <f aca="false">IF(G899="","",G899/100*INDEX(Alimentos!$H$5:$H$40,MATCH($D899,Alimentos!$B$5:$B$40,0)))</f>
        <v/>
      </c>
      <c r="L899" s="24" t="str">
        <f aca="false">IF(OR(A899="",B899=""),"",Perfil!$C$13+(A899-1)*7+MATCH(B899,{"Lunes","Martes","Miércoles","Jueves","Viernes","Sábado","Domingo"},0)-1)</f>
        <v/>
      </c>
    </row>
    <row r="900" customFormat="false" ht="15" hidden="false" customHeight="false" outlineLevel="0" collapsed="false">
      <c r="G900" s="23" t="str">
        <f aca="false">IF(OR(D900="",E900=""),"",E900*IFERROR(VLOOKUP(F900,Perfil!$B$19:$C$24,2,0),1))</f>
        <v/>
      </c>
      <c r="H900" s="23" t="str">
        <f aca="false">IF(G900="","",G900/100*INDEX(Alimentos!$E$5:$E$40,MATCH($D900,Alimentos!$B$5:$B$40,0)))</f>
        <v/>
      </c>
      <c r="I900" s="23" t="str">
        <f aca="false">IF(G900="","",G900/100*INDEX(Alimentos!$F$5:$F$40,MATCH($D900,Alimentos!$B$5:$B$40,0)))</f>
        <v/>
      </c>
      <c r="J900" s="23" t="str">
        <f aca="false">IF(G900="","",G900/100*INDEX(Alimentos!$G$5:$G$40,MATCH($D900,Alimentos!$B$5:$B$40,0)))</f>
        <v/>
      </c>
      <c r="K900" s="23" t="str">
        <f aca="false">IF(G900="","",G900/100*INDEX(Alimentos!$H$5:$H$40,MATCH($D900,Alimentos!$B$5:$B$40,0)))</f>
        <v/>
      </c>
      <c r="L900" s="24" t="str">
        <f aca="false">IF(OR(A900="",B900=""),"",Perfil!$C$13+(A900-1)*7+MATCH(B900,{"Lunes","Martes","Miércoles","Jueves","Viernes","Sábado","Domingo"},0)-1)</f>
        <v/>
      </c>
    </row>
    <row r="901" customFormat="false" ht="15" hidden="false" customHeight="false" outlineLevel="0" collapsed="false">
      <c r="G901" s="23" t="str">
        <f aca="false">IF(OR(D901="",E901=""),"",E901*IFERROR(VLOOKUP(F901,Perfil!$B$19:$C$24,2,0),1))</f>
        <v/>
      </c>
      <c r="H901" s="23" t="str">
        <f aca="false">IF(G901="","",G901/100*INDEX(Alimentos!$E$5:$E$40,MATCH($D901,Alimentos!$B$5:$B$40,0)))</f>
        <v/>
      </c>
      <c r="I901" s="23" t="str">
        <f aca="false">IF(G901="","",G901/100*INDEX(Alimentos!$F$5:$F$40,MATCH($D901,Alimentos!$B$5:$B$40,0)))</f>
        <v/>
      </c>
      <c r="J901" s="23" t="str">
        <f aca="false">IF(G901="","",G901/100*INDEX(Alimentos!$G$5:$G$40,MATCH($D901,Alimentos!$B$5:$B$40,0)))</f>
        <v/>
      </c>
      <c r="K901" s="23" t="str">
        <f aca="false">IF(G901="","",G901/100*INDEX(Alimentos!$H$5:$H$40,MATCH($D901,Alimentos!$B$5:$B$40,0)))</f>
        <v/>
      </c>
      <c r="L901" s="24" t="str">
        <f aca="false">IF(OR(A901="",B901=""),"",Perfil!$C$13+(A901-1)*7+MATCH(B901,{"Lunes","Martes","Miércoles","Jueves","Viernes","Sábado","Domingo"},0)-1)</f>
        <v/>
      </c>
    </row>
    <row r="902" customFormat="false" ht="15" hidden="false" customHeight="false" outlineLevel="0" collapsed="false">
      <c r="G902" s="23" t="str">
        <f aca="false">IF(OR(D902="",E902=""),"",E902*IFERROR(VLOOKUP(F902,Perfil!$B$19:$C$24,2,0),1))</f>
        <v/>
      </c>
      <c r="H902" s="23" t="str">
        <f aca="false">IF(G902="","",G902/100*INDEX(Alimentos!$E$5:$E$40,MATCH($D902,Alimentos!$B$5:$B$40,0)))</f>
        <v/>
      </c>
      <c r="I902" s="23" t="str">
        <f aca="false">IF(G902="","",G902/100*INDEX(Alimentos!$F$5:$F$40,MATCH($D902,Alimentos!$B$5:$B$40,0)))</f>
        <v/>
      </c>
      <c r="J902" s="23" t="str">
        <f aca="false">IF(G902="","",G902/100*INDEX(Alimentos!$G$5:$G$40,MATCH($D902,Alimentos!$B$5:$B$40,0)))</f>
        <v/>
      </c>
      <c r="K902" s="23" t="str">
        <f aca="false">IF(G902="","",G902/100*INDEX(Alimentos!$H$5:$H$40,MATCH($D902,Alimentos!$B$5:$B$40,0)))</f>
        <v/>
      </c>
      <c r="L902" s="24" t="str">
        <f aca="false">IF(OR(A902="",B902=""),"",Perfil!$C$13+(A902-1)*7+MATCH(B902,{"Lunes","Martes","Miércoles","Jueves","Viernes","Sábado","Domingo"},0)-1)</f>
        <v/>
      </c>
    </row>
    <row r="903" customFormat="false" ht="15" hidden="false" customHeight="false" outlineLevel="0" collapsed="false">
      <c r="G903" s="23" t="str">
        <f aca="false">IF(OR(D903="",E903=""),"",E903*IFERROR(VLOOKUP(F903,Perfil!$B$19:$C$24,2,0),1))</f>
        <v/>
      </c>
      <c r="H903" s="23" t="str">
        <f aca="false">IF(G903="","",G903/100*INDEX(Alimentos!$E$5:$E$40,MATCH($D903,Alimentos!$B$5:$B$40,0)))</f>
        <v/>
      </c>
      <c r="I903" s="23" t="str">
        <f aca="false">IF(G903="","",G903/100*INDEX(Alimentos!$F$5:$F$40,MATCH($D903,Alimentos!$B$5:$B$40,0)))</f>
        <v/>
      </c>
      <c r="J903" s="23" t="str">
        <f aca="false">IF(G903="","",G903/100*INDEX(Alimentos!$G$5:$G$40,MATCH($D903,Alimentos!$B$5:$B$40,0)))</f>
        <v/>
      </c>
      <c r="K903" s="23" t="str">
        <f aca="false">IF(G903="","",G903/100*INDEX(Alimentos!$H$5:$H$40,MATCH($D903,Alimentos!$B$5:$B$40,0)))</f>
        <v/>
      </c>
      <c r="L903" s="24" t="str">
        <f aca="false">IF(OR(A903="",B903=""),"",Perfil!$C$13+(A903-1)*7+MATCH(B903,{"Lunes","Martes","Miércoles","Jueves","Viernes","Sábado","Domingo"},0)-1)</f>
        <v/>
      </c>
    </row>
    <row r="904" customFormat="false" ht="15" hidden="false" customHeight="false" outlineLevel="0" collapsed="false">
      <c r="G904" s="23" t="str">
        <f aca="false">IF(OR(D904="",E904=""),"",E904*IFERROR(VLOOKUP(F904,Perfil!$B$19:$C$24,2,0),1))</f>
        <v/>
      </c>
      <c r="H904" s="23" t="str">
        <f aca="false">IF(G904="","",G904/100*INDEX(Alimentos!$E$5:$E$40,MATCH($D904,Alimentos!$B$5:$B$40,0)))</f>
        <v/>
      </c>
      <c r="I904" s="23" t="str">
        <f aca="false">IF(G904="","",G904/100*INDEX(Alimentos!$F$5:$F$40,MATCH($D904,Alimentos!$B$5:$B$40,0)))</f>
        <v/>
      </c>
      <c r="J904" s="23" t="str">
        <f aca="false">IF(G904="","",G904/100*INDEX(Alimentos!$G$5:$G$40,MATCH($D904,Alimentos!$B$5:$B$40,0)))</f>
        <v/>
      </c>
      <c r="K904" s="23" t="str">
        <f aca="false">IF(G904="","",G904/100*INDEX(Alimentos!$H$5:$H$40,MATCH($D904,Alimentos!$B$5:$B$40,0)))</f>
        <v/>
      </c>
      <c r="L904" s="24" t="str">
        <f aca="false">IF(OR(A904="",B904=""),"",Perfil!$C$13+(A904-1)*7+MATCH(B904,{"Lunes","Martes","Miércoles","Jueves","Viernes","Sábado","Domingo"},0)-1)</f>
        <v/>
      </c>
    </row>
    <row r="905" customFormat="false" ht="15" hidden="false" customHeight="false" outlineLevel="0" collapsed="false">
      <c r="G905" s="23" t="str">
        <f aca="false">IF(OR(D905="",E905=""),"",E905*IFERROR(VLOOKUP(F905,Perfil!$B$19:$C$24,2,0),1))</f>
        <v/>
      </c>
      <c r="H905" s="23" t="str">
        <f aca="false">IF(G905="","",G905/100*INDEX(Alimentos!$E$5:$E$40,MATCH($D905,Alimentos!$B$5:$B$40,0)))</f>
        <v/>
      </c>
      <c r="I905" s="23" t="str">
        <f aca="false">IF(G905="","",G905/100*INDEX(Alimentos!$F$5:$F$40,MATCH($D905,Alimentos!$B$5:$B$40,0)))</f>
        <v/>
      </c>
      <c r="J905" s="23" t="str">
        <f aca="false">IF(G905="","",G905/100*INDEX(Alimentos!$G$5:$G$40,MATCH($D905,Alimentos!$B$5:$B$40,0)))</f>
        <v/>
      </c>
      <c r="K905" s="23" t="str">
        <f aca="false">IF(G905="","",G905/100*INDEX(Alimentos!$H$5:$H$40,MATCH($D905,Alimentos!$B$5:$B$40,0)))</f>
        <v/>
      </c>
      <c r="L905" s="24" t="str">
        <f aca="false">IF(OR(A905="",B905=""),"",Perfil!$C$13+(A905-1)*7+MATCH(B905,{"Lunes","Martes","Miércoles","Jueves","Viernes","Sábado","Domingo"},0)-1)</f>
        <v/>
      </c>
    </row>
    <row r="906" customFormat="false" ht="15" hidden="false" customHeight="false" outlineLevel="0" collapsed="false">
      <c r="G906" s="23" t="str">
        <f aca="false">IF(OR(D906="",E906=""),"",E906*IFERROR(VLOOKUP(F906,Perfil!$B$19:$C$24,2,0),1))</f>
        <v/>
      </c>
      <c r="H906" s="23" t="str">
        <f aca="false">IF(G906="","",G906/100*INDEX(Alimentos!$E$5:$E$40,MATCH($D906,Alimentos!$B$5:$B$40,0)))</f>
        <v/>
      </c>
      <c r="I906" s="23" t="str">
        <f aca="false">IF(G906="","",G906/100*INDEX(Alimentos!$F$5:$F$40,MATCH($D906,Alimentos!$B$5:$B$40,0)))</f>
        <v/>
      </c>
      <c r="J906" s="23" t="str">
        <f aca="false">IF(G906="","",G906/100*INDEX(Alimentos!$G$5:$G$40,MATCH($D906,Alimentos!$B$5:$B$40,0)))</f>
        <v/>
      </c>
      <c r="K906" s="23" t="str">
        <f aca="false">IF(G906="","",G906/100*INDEX(Alimentos!$H$5:$H$40,MATCH($D906,Alimentos!$B$5:$B$40,0)))</f>
        <v/>
      </c>
      <c r="L906" s="24" t="str">
        <f aca="false">IF(OR(A906="",B906=""),"",Perfil!$C$13+(A906-1)*7+MATCH(B906,{"Lunes","Martes","Miércoles","Jueves","Viernes","Sábado","Domingo"},0)-1)</f>
        <v/>
      </c>
    </row>
    <row r="907" customFormat="false" ht="15" hidden="false" customHeight="false" outlineLevel="0" collapsed="false">
      <c r="G907" s="23" t="str">
        <f aca="false">IF(OR(D907="",E907=""),"",E907*IFERROR(VLOOKUP(F907,Perfil!$B$19:$C$24,2,0),1))</f>
        <v/>
      </c>
      <c r="H907" s="23" t="str">
        <f aca="false">IF(G907="","",G907/100*INDEX(Alimentos!$E$5:$E$40,MATCH($D907,Alimentos!$B$5:$B$40,0)))</f>
        <v/>
      </c>
      <c r="I907" s="23" t="str">
        <f aca="false">IF(G907="","",G907/100*INDEX(Alimentos!$F$5:$F$40,MATCH($D907,Alimentos!$B$5:$B$40,0)))</f>
        <v/>
      </c>
      <c r="J907" s="23" t="str">
        <f aca="false">IF(G907="","",G907/100*INDEX(Alimentos!$G$5:$G$40,MATCH($D907,Alimentos!$B$5:$B$40,0)))</f>
        <v/>
      </c>
      <c r="K907" s="23" t="str">
        <f aca="false">IF(G907="","",G907/100*INDEX(Alimentos!$H$5:$H$40,MATCH($D907,Alimentos!$B$5:$B$40,0)))</f>
        <v/>
      </c>
      <c r="L907" s="24" t="str">
        <f aca="false">IF(OR(A907="",B907=""),"",Perfil!$C$13+(A907-1)*7+MATCH(B907,{"Lunes","Martes","Miércoles","Jueves","Viernes","Sábado","Domingo"},0)-1)</f>
        <v/>
      </c>
    </row>
    <row r="908" customFormat="false" ht="15" hidden="false" customHeight="false" outlineLevel="0" collapsed="false">
      <c r="G908" s="23" t="str">
        <f aca="false">IF(OR(D908="",E908=""),"",E908*IFERROR(VLOOKUP(F908,Perfil!$B$19:$C$24,2,0),1))</f>
        <v/>
      </c>
      <c r="H908" s="23" t="str">
        <f aca="false">IF(G908="","",G908/100*INDEX(Alimentos!$E$5:$E$40,MATCH($D908,Alimentos!$B$5:$B$40,0)))</f>
        <v/>
      </c>
      <c r="I908" s="23" t="str">
        <f aca="false">IF(G908="","",G908/100*INDEX(Alimentos!$F$5:$F$40,MATCH($D908,Alimentos!$B$5:$B$40,0)))</f>
        <v/>
      </c>
      <c r="J908" s="23" t="str">
        <f aca="false">IF(G908="","",G908/100*INDEX(Alimentos!$G$5:$G$40,MATCH($D908,Alimentos!$B$5:$B$40,0)))</f>
        <v/>
      </c>
      <c r="K908" s="23" t="str">
        <f aca="false">IF(G908="","",G908/100*INDEX(Alimentos!$H$5:$H$40,MATCH($D908,Alimentos!$B$5:$B$40,0)))</f>
        <v/>
      </c>
      <c r="L908" s="24" t="str">
        <f aca="false">IF(OR(A908="",B908=""),"",Perfil!$C$13+(A908-1)*7+MATCH(B908,{"Lunes","Martes","Miércoles","Jueves","Viernes","Sábado","Domingo"},0)-1)</f>
        <v/>
      </c>
    </row>
    <row r="909" customFormat="false" ht="15" hidden="false" customHeight="false" outlineLevel="0" collapsed="false">
      <c r="G909" s="23" t="str">
        <f aca="false">IF(OR(D909="",E909=""),"",E909*IFERROR(VLOOKUP(F909,Perfil!$B$19:$C$24,2,0),1))</f>
        <v/>
      </c>
      <c r="H909" s="23" t="str">
        <f aca="false">IF(G909="","",G909/100*INDEX(Alimentos!$E$5:$E$40,MATCH($D909,Alimentos!$B$5:$B$40,0)))</f>
        <v/>
      </c>
      <c r="I909" s="23" t="str">
        <f aca="false">IF(G909="","",G909/100*INDEX(Alimentos!$F$5:$F$40,MATCH($D909,Alimentos!$B$5:$B$40,0)))</f>
        <v/>
      </c>
      <c r="J909" s="23" t="str">
        <f aca="false">IF(G909="","",G909/100*INDEX(Alimentos!$G$5:$G$40,MATCH($D909,Alimentos!$B$5:$B$40,0)))</f>
        <v/>
      </c>
      <c r="K909" s="23" t="str">
        <f aca="false">IF(G909="","",G909/100*INDEX(Alimentos!$H$5:$H$40,MATCH($D909,Alimentos!$B$5:$B$40,0)))</f>
        <v/>
      </c>
      <c r="L909" s="24" t="str">
        <f aca="false">IF(OR(A909="",B909=""),"",Perfil!$C$13+(A909-1)*7+MATCH(B909,{"Lunes","Martes","Miércoles","Jueves","Viernes","Sábado","Domingo"},0)-1)</f>
        <v/>
      </c>
    </row>
    <row r="910" customFormat="false" ht="15" hidden="false" customHeight="false" outlineLevel="0" collapsed="false">
      <c r="G910" s="23" t="str">
        <f aca="false">IF(OR(D910="",E910=""),"",E910*IFERROR(VLOOKUP(F910,Perfil!$B$19:$C$24,2,0),1))</f>
        <v/>
      </c>
      <c r="H910" s="23" t="str">
        <f aca="false">IF(G910="","",G910/100*INDEX(Alimentos!$E$5:$E$40,MATCH($D910,Alimentos!$B$5:$B$40,0)))</f>
        <v/>
      </c>
      <c r="I910" s="23" t="str">
        <f aca="false">IF(G910="","",G910/100*INDEX(Alimentos!$F$5:$F$40,MATCH($D910,Alimentos!$B$5:$B$40,0)))</f>
        <v/>
      </c>
      <c r="J910" s="23" t="str">
        <f aca="false">IF(G910="","",G910/100*INDEX(Alimentos!$G$5:$G$40,MATCH($D910,Alimentos!$B$5:$B$40,0)))</f>
        <v/>
      </c>
      <c r="K910" s="23" t="str">
        <f aca="false">IF(G910="","",G910/100*INDEX(Alimentos!$H$5:$H$40,MATCH($D910,Alimentos!$B$5:$B$40,0)))</f>
        <v/>
      </c>
      <c r="L910" s="24" t="str">
        <f aca="false">IF(OR(A910="",B910=""),"",Perfil!$C$13+(A910-1)*7+MATCH(B910,{"Lunes","Martes","Miércoles","Jueves","Viernes","Sábado","Domingo"},0)-1)</f>
        <v/>
      </c>
    </row>
    <row r="911" customFormat="false" ht="15" hidden="false" customHeight="false" outlineLevel="0" collapsed="false">
      <c r="G911" s="23" t="str">
        <f aca="false">IF(OR(D911="",E911=""),"",E911*IFERROR(VLOOKUP(F911,Perfil!$B$19:$C$24,2,0),1))</f>
        <v/>
      </c>
      <c r="H911" s="23" t="str">
        <f aca="false">IF(G911="","",G911/100*INDEX(Alimentos!$E$5:$E$40,MATCH($D911,Alimentos!$B$5:$B$40,0)))</f>
        <v/>
      </c>
      <c r="I911" s="23" t="str">
        <f aca="false">IF(G911="","",G911/100*INDEX(Alimentos!$F$5:$F$40,MATCH($D911,Alimentos!$B$5:$B$40,0)))</f>
        <v/>
      </c>
      <c r="J911" s="23" t="str">
        <f aca="false">IF(G911="","",G911/100*INDEX(Alimentos!$G$5:$G$40,MATCH($D911,Alimentos!$B$5:$B$40,0)))</f>
        <v/>
      </c>
      <c r="K911" s="23" t="str">
        <f aca="false">IF(G911="","",G911/100*INDEX(Alimentos!$H$5:$H$40,MATCH($D911,Alimentos!$B$5:$B$40,0)))</f>
        <v/>
      </c>
      <c r="L911" s="24" t="str">
        <f aca="false">IF(OR(A911="",B911=""),"",Perfil!$C$13+(A911-1)*7+MATCH(B911,{"Lunes","Martes","Miércoles","Jueves","Viernes","Sábado","Domingo"},0)-1)</f>
        <v/>
      </c>
    </row>
    <row r="912" customFormat="false" ht="15" hidden="false" customHeight="false" outlineLevel="0" collapsed="false">
      <c r="G912" s="23" t="str">
        <f aca="false">IF(OR(D912="",E912=""),"",E912*IFERROR(VLOOKUP(F912,Perfil!$B$19:$C$24,2,0),1))</f>
        <v/>
      </c>
      <c r="H912" s="23" t="str">
        <f aca="false">IF(G912="","",G912/100*INDEX(Alimentos!$E$5:$E$40,MATCH($D912,Alimentos!$B$5:$B$40,0)))</f>
        <v/>
      </c>
      <c r="I912" s="23" t="str">
        <f aca="false">IF(G912="","",G912/100*INDEX(Alimentos!$F$5:$F$40,MATCH($D912,Alimentos!$B$5:$B$40,0)))</f>
        <v/>
      </c>
      <c r="J912" s="23" t="str">
        <f aca="false">IF(G912="","",G912/100*INDEX(Alimentos!$G$5:$G$40,MATCH($D912,Alimentos!$B$5:$B$40,0)))</f>
        <v/>
      </c>
      <c r="K912" s="23" t="str">
        <f aca="false">IF(G912="","",G912/100*INDEX(Alimentos!$H$5:$H$40,MATCH($D912,Alimentos!$B$5:$B$40,0)))</f>
        <v/>
      </c>
      <c r="L912" s="24" t="str">
        <f aca="false">IF(OR(A912="",B912=""),"",Perfil!$C$13+(A912-1)*7+MATCH(B912,{"Lunes","Martes","Miércoles","Jueves","Viernes","Sábado","Domingo"},0)-1)</f>
        <v/>
      </c>
    </row>
    <row r="913" customFormat="false" ht="15" hidden="false" customHeight="false" outlineLevel="0" collapsed="false">
      <c r="G913" s="23" t="str">
        <f aca="false">IF(OR(D913="",E913=""),"",E913*IFERROR(VLOOKUP(F913,Perfil!$B$19:$C$24,2,0),1))</f>
        <v/>
      </c>
      <c r="H913" s="23" t="str">
        <f aca="false">IF(G913="","",G913/100*INDEX(Alimentos!$E$5:$E$40,MATCH($D913,Alimentos!$B$5:$B$40,0)))</f>
        <v/>
      </c>
      <c r="I913" s="23" t="str">
        <f aca="false">IF(G913="","",G913/100*INDEX(Alimentos!$F$5:$F$40,MATCH($D913,Alimentos!$B$5:$B$40,0)))</f>
        <v/>
      </c>
      <c r="J913" s="23" t="str">
        <f aca="false">IF(G913="","",G913/100*INDEX(Alimentos!$G$5:$G$40,MATCH($D913,Alimentos!$B$5:$B$40,0)))</f>
        <v/>
      </c>
      <c r="K913" s="23" t="str">
        <f aca="false">IF(G913="","",G913/100*INDEX(Alimentos!$H$5:$H$40,MATCH($D913,Alimentos!$B$5:$B$40,0)))</f>
        <v/>
      </c>
      <c r="L913" s="24" t="str">
        <f aca="false">IF(OR(A913="",B913=""),"",Perfil!$C$13+(A913-1)*7+MATCH(B913,{"Lunes","Martes","Miércoles","Jueves","Viernes","Sábado","Domingo"},0)-1)</f>
        <v/>
      </c>
    </row>
    <row r="914" customFormat="false" ht="15" hidden="false" customHeight="false" outlineLevel="0" collapsed="false">
      <c r="G914" s="23" t="str">
        <f aca="false">IF(OR(D914="",E914=""),"",E914*IFERROR(VLOOKUP(F914,Perfil!$B$19:$C$24,2,0),1))</f>
        <v/>
      </c>
      <c r="H914" s="23" t="str">
        <f aca="false">IF(G914="","",G914/100*INDEX(Alimentos!$E$5:$E$40,MATCH($D914,Alimentos!$B$5:$B$40,0)))</f>
        <v/>
      </c>
      <c r="I914" s="23" t="str">
        <f aca="false">IF(G914="","",G914/100*INDEX(Alimentos!$F$5:$F$40,MATCH($D914,Alimentos!$B$5:$B$40,0)))</f>
        <v/>
      </c>
      <c r="J914" s="23" t="str">
        <f aca="false">IF(G914="","",G914/100*INDEX(Alimentos!$G$5:$G$40,MATCH($D914,Alimentos!$B$5:$B$40,0)))</f>
        <v/>
      </c>
      <c r="K914" s="23" t="str">
        <f aca="false">IF(G914="","",G914/100*INDEX(Alimentos!$H$5:$H$40,MATCH($D914,Alimentos!$B$5:$B$40,0)))</f>
        <v/>
      </c>
      <c r="L914" s="24" t="str">
        <f aca="false">IF(OR(A914="",B914=""),"",Perfil!$C$13+(A914-1)*7+MATCH(B914,{"Lunes","Martes","Miércoles","Jueves","Viernes","Sábado","Domingo"},0)-1)</f>
        <v/>
      </c>
    </row>
    <row r="915" customFormat="false" ht="15" hidden="false" customHeight="false" outlineLevel="0" collapsed="false">
      <c r="G915" s="23" t="str">
        <f aca="false">IF(OR(D915="",E915=""),"",E915*IFERROR(VLOOKUP(F915,Perfil!$B$19:$C$24,2,0),1))</f>
        <v/>
      </c>
      <c r="H915" s="23" t="str">
        <f aca="false">IF(G915="","",G915/100*INDEX(Alimentos!$E$5:$E$40,MATCH($D915,Alimentos!$B$5:$B$40,0)))</f>
        <v/>
      </c>
      <c r="I915" s="23" t="str">
        <f aca="false">IF(G915="","",G915/100*INDEX(Alimentos!$F$5:$F$40,MATCH($D915,Alimentos!$B$5:$B$40,0)))</f>
        <v/>
      </c>
      <c r="J915" s="23" t="str">
        <f aca="false">IF(G915="","",G915/100*INDEX(Alimentos!$G$5:$G$40,MATCH($D915,Alimentos!$B$5:$B$40,0)))</f>
        <v/>
      </c>
      <c r="K915" s="23" t="str">
        <f aca="false">IF(G915="","",G915/100*INDEX(Alimentos!$H$5:$H$40,MATCH($D915,Alimentos!$B$5:$B$40,0)))</f>
        <v/>
      </c>
      <c r="L915" s="24" t="str">
        <f aca="false">IF(OR(A915="",B915=""),"",Perfil!$C$13+(A915-1)*7+MATCH(B915,{"Lunes","Martes","Miércoles","Jueves","Viernes","Sábado","Domingo"},0)-1)</f>
        <v/>
      </c>
    </row>
    <row r="916" customFormat="false" ht="15" hidden="false" customHeight="false" outlineLevel="0" collapsed="false">
      <c r="G916" s="23" t="str">
        <f aca="false">IF(OR(D916="",E916=""),"",E916*IFERROR(VLOOKUP(F916,Perfil!$B$19:$C$24,2,0),1))</f>
        <v/>
      </c>
      <c r="H916" s="23" t="str">
        <f aca="false">IF(G916="","",G916/100*INDEX(Alimentos!$E$5:$E$40,MATCH($D916,Alimentos!$B$5:$B$40,0)))</f>
        <v/>
      </c>
      <c r="I916" s="23" t="str">
        <f aca="false">IF(G916="","",G916/100*INDEX(Alimentos!$F$5:$F$40,MATCH($D916,Alimentos!$B$5:$B$40,0)))</f>
        <v/>
      </c>
      <c r="J916" s="23" t="str">
        <f aca="false">IF(G916="","",G916/100*INDEX(Alimentos!$G$5:$G$40,MATCH($D916,Alimentos!$B$5:$B$40,0)))</f>
        <v/>
      </c>
      <c r="K916" s="23" t="str">
        <f aca="false">IF(G916="","",G916/100*INDEX(Alimentos!$H$5:$H$40,MATCH($D916,Alimentos!$B$5:$B$40,0)))</f>
        <v/>
      </c>
      <c r="L916" s="24" t="str">
        <f aca="false">IF(OR(A916="",B916=""),"",Perfil!$C$13+(A916-1)*7+MATCH(B916,{"Lunes","Martes","Miércoles","Jueves","Viernes","Sábado","Domingo"},0)-1)</f>
        <v/>
      </c>
    </row>
    <row r="917" customFormat="false" ht="15" hidden="false" customHeight="false" outlineLevel="0" collapsed="false">
      <c r="G917" s="23" t="str">
        <f aca="false">IF(OR(D917="",E917=""),"",E917*IFERROR(VLOOKUP(F917,Perfil!$B$19:$C$24,2,0),1))</f>
        <v/>
      </c>
      <c r="H917" s="23" t="str">
        <f aca="false">IF(G917="","",G917/100*INDEX(Alimentos!$E$5:$E$40,MATCH($D917,Alimentos!$B$5:$B$40,0)))</f>
        <v/>
      </c>
      <c r="I917" s="23" t="str">
        <f aca="false">IF(G917="","",G917/100*INDEX(Alimentos!$F$5:$F$40,MATCH($D917,Alimentos!$B$5:$B$40,0)))</f>
        <v/>
      </c>
      <c r="J917" s="23" t="str">
        <f aca="false">IF(G917="","",G917/100*INDEX(Alimentos!$G$5:$G$40,MATCH($D917,Alimentos!$B$5:$B$40,0)))</f>
        <v/>
      </c>
      <c r="K917" s="23" t="str">
        <f aca="false">IF(G917="","",G917/100*INDEX(Alimentos!$H$5:$H$40,MATCH($D917,Alimentos!$B$5:$B$40,0)))</f>
        <v/>
      </c>
      <c r="L917" s="24" t="str">
        <f aca="false">IF(OR(A917="",B917=""),"",Perfil!$C$13+(A917-1)*7+MATCH(B917,{"Lunes","Martes","Miércoles","Jueves","Viernes","Sábado","Domingo"},0)-1)</f>
        <v/>
      </c>
    </row>
    <row r="918" customFormat="false" ht="15" hidden="false" customHeight="false" outlineLevel="0" collapsed="false">
      <c r="G918" s="23" t="str">
        <f aca="false">IF(OR(D918="",E918=""),"",E918*IFERROR(VLOOKUP(F918,Perfil!$B$19:$C$24,2,0),1))</f>
        <v/>
      </c>
      <c r="H918" s="23" t="str">
        <f aca="false">IF(G918="","",G918/100*INDEX(Alimentos!$E$5:$E$40,MATCH($D918,Alimentos!$B$5:$B$40,0)))</f>
        <v/>
      </c>
      <c r="I918" s="23" t="str">
        <f aca="false">IF(G918="","",G918/100*INDEX(Alimentos!$F$5:$F$40,MATCH($D918,Alimentos!$B$5:$B$40,0)))</f>
        <v/>
      </c>
      <c r="J918" s="23" t="str">
        <f aca="false">IF(G918="","",G918/100*INDEX(Alimentos!$G$5:$G$40,MATCH($D918,Alimentos!$B$5:$B$40,0)))</f>
        <v/>
      </c>
      <c r="K918" s="23" t="str">
        <f aca="false">IF(G918="","",G918/100*INDEX(Alimentos!$H$5:$H$40,MATCH($D918,Alimentos!$B$5:$B$40,0)))</f>
        <v/>
      </c>
      <c r="L918" s="24" t="str">
        <f aca="false">IF(OR(A918="",B918=""),"",Perfil!$C$13+(A918-1)*7+MATCH(B918,{"Lunes","Martes","Miércoles","Jueves","Viernes","Sábado","Domingo"},0)-1)</f>
        <v/>
      </c>
    </row>
    <row r="919" customFormat="false" ht="15" hidden="false" customHeight="false" outlineLevel="0" collapsed="false">
      <c r="G919" s="23" t="str">
        <f aca="false">IF(OR(D919="",E919=""),"",E919*IFERROR(VLOOKUP(F919,Perfil!$B$19:$C$24,2,0),1))</f>
        <v/>
      </c>
      <c r="H919" s="23" t="str">
        <f aca="false">IF(G919="","",G919/100*INDEX(Alimentos!$E$5:$E$40,MATCH($D919,Alimentos!$B$5:$B$40,0)))</f>
        <v/>
      </c>
      <c r="I919" s="23" t="str">
        <f aca="false">IF(G919="","",G919/100*INDEX(Alimentos!$F$5:$F$40,MATCH($D919,Alimentos!$B$5:$B$40,0)))</f>
        <v/>
      </c>
      <c r="J919" s="23" t="str">
        <f aca="false">IF(G919="","",G919/100*INDEX(Alimentos!$G$5:$G$40,MATCH($D919,Alimentos!$B$5:$B$40,0)))</f>
        <v/>
      </c>
      <c r="K919" s="23" t="str">
        <f aca="false">IF(G919="","",G919/100*INDEX(Alimentos!$H$5:$H$40,MATCH($D919,Alimentos!$B$5:$B$40,0)))</f>
        <v/>
      </c>
      <c r="L919" s="24" t="str">
        <f aca="false">IF(OR(A919="",B919=""),"",Perfil!$C$13+(A919-1)*7+MATCH(B919,{"Lunes","Martes","Miércoles","Jueves","Viernes","Sábado","Domingo"},0)-1)</f>
        <v/>
      </c>
    </row>
    <row r="920" customFormat="false" ht="15" hidden="false" customHeight="false" outlineLevel="0" collapsed="false">
      <c r="G920" s="23" t="str">
        <f aca="false">IF(OR(D920="",E920=""),"",E920*IFERROR(VLOOKUP(F920,Perfil!$B$19:$C$24,2,0),1))</f>
        <v/>
      </c>
      <c r="H920" s="23" t="str">
        <f aca="false">IF(G920="","",G920/100*INDEX(Alimentos!$E$5:$E$40,MATCH($D920,Alimentos!$B$5:$B$40,0)))</f>
        <v/>
      </c>
      <c r="I920" s="23" t="str">
        <f aca="false">IF(G920="","",G920/100*INDEX(Alimentos!$F$5:$F$40,MATCH($D920,Alimentos!$B$5:$B$40,0)))</f>
        <v/>
      </c>
      <c r="J920" s="23" t="str">
        <f aca="false">IF(G920="","",G920/100*INDEX(Alimentos!$G$5:$G$40,MATCH($D920,Alimentos!$B$5:$B$40,0)))</f>
        <v/>
      </c>
      <c r="K920" s="23" t="str">
        <f aca="false">IF(G920="","",G920/100*INDEX(Alimentos!$H$5:$H$40,MATCH($D920,Alimentos!$B$5:$B$40,0)))</f>
        <v/>
      </c>
      <c r="L920" s="24" t="str">
        <f aca="false">IF(OR(A920="",B920=""),"",Perfil!$C$13+(A920-1)*7+MATCH(B920,{"Lunes","Martes","Miércoles","Jueves","Viernes","Sábado","Domingo"},0)-1)</f>
        <v/>
      </c>
    </row>
    <row r="921" customFormat="false" ht="15" hidden="false" customHeight="false" outlineLevel="0" collapsed="false">
      <c r="G921" s="23" t="str">
        <f aca="false">IF(OR(D921="",E921=""),"",E921*IFERROR(VLOOKUP(F921,Perfil!$B$19:$C$24,2,0),1))</f>
        <v/>
      </c>
      <c r="H921" s="23" t="str">
        <f aca="false">IF(G921="","",G921/100*INDEX(Alimentos!$E$5:$E$40,MATCH($D921,Alimentos!$B$5:$B$40,0)))</f>
        <v/>
      </c>
      <c r="I921" s="23" t="str">
        <f aca="false">IF(G921="","",G921/100*INDEX(Alimentos!$F$5:$F$40,MATCH($D921,Alimentos!$B$5:$B$40,0)))</f>
        <v/>
      </c>
      <c r="J921" s="23" t="str">
        <f aca="false">IF(G921="","",G921/100*INDEX(Alimentos!$G$5:$G$40,MATCH($D921,Alimentos!$B$5:$B$40,0)))</f>
        <v/>
      </c>
      <c r="K921" s="23" t="str">
        <f aca="false">IF(G921="","",G921/100*INDEX(Alimentos!$H$5:$H$40,MATCH($D921,Alimentos!$B$5:$B$40,0)))</f>
        <v/>
      </c>
      <c r="L921" s="24" t="str">
        <f aca="false">IF(OR(A921="",B921=""),"",Perfil!$C$13+(A921-1)*7+MATCH(B921,{"Lunes","Martes","Miércoles","Jueves","Viernes","Sábado","Domingo"},0)-1)</f>
        <v/>
      </c>
    </row>
    <row r="922" customFormat="false" ht="15" hidden="false" customHeight="false" outlineLevel="0" collapsed="false">
      <c r="G922" s="23" t="str">
        <f aca="false">IF(OR(D922="",E922=""),"",E922*IFERROR(VLOOKUP(F922,Perfil!$B$19:$C$24,2,0),1))</f>
        <v/>
      </c>
      <c r="H922" s="23" t="str">
        <f aca="false">IF(G922="","",G922/100*INDEX(Alimentos!$E$5:$E$40,MATCH($D922,Alimentos!$B$5:$B$40,0)))</f>
        <v/>
      </c>
      <c r="I922" s="23" t="str">
        <f aca="false">IF(G922="","",G922/100*INDEX(Alimentos!$F$5:$F$40,MATCH($D922,Alimentos!$B$5:$B$40,0)))</f>
        <v/>
      </c>
      <c r="J922" s="23" t="str">
        <f aca="false">IF(G922="","",G922/100*INDEX(Alimentos!$G$5:$G$40,MATCH($D922,Alimentos!$B$5:$B$40,0)))</f>
        <v/>
      </c>
      <c r="K922" s="23" t="str">
        <f aca="false">IF(G922="","",G922/100*INDEX(Alimentos!$H$5:$H$40,MATCH($D922,Alimentos!$B$5:$B$40,0)))</f>
        <v/>
      </c>
      <c r="L922" s="24" t="str">
        <f aca="false">IF(OR(A922="",B922=""),"",Perfil!$C$13+(A922-1)*7+MATCH(B922,{"Lunes","Martes","Miércoles","Jueves","Viernes","Sábado","Domingo"},0)-1)</f>
        <v/>
      </c>
    </row>
    <row r="923" customFormat="false" ht="15" hidden="false" customHeight="false" outlineLevel="0" collapsed="false">
      <c r="G923" s="23" t="str">
        <f aca="false">IF(OR(D923="",E923=""),"",E923*IFERROR(VLOOKUP(F923,Perfil!$B$19:$C$24,2,0),1))</f>
        <v/>
      </c>
      <c r="H923" s="23" t="str">
        <f aca="false">IF(G923="","",G923/100*INDEX(Alimentos!$E$5:$E$40,MATCH($D923,Alimentos!$B$5:$B$40,0)))</f>
        <v/>
      </c>
      <c r="I923" s="23" t="str">
        <f aca="false">IF(G923="","",G923/100*INDEX(Alimentos!$F$5:$F$40,MATCH($D923,Alimentos!$B$5:$B$40,0)))</f>
        <v/>
      </c>
      <c r="J923" s="23" t="str">
        <f aca="false">IF(G923="","",G923/100*INDEX(Alimentos!$G$5:$G$40,MATCH($D923,Alimentos!$B$5:$B$40,0)))</f>
        <v/>
      </c>
      <c r="K923" s="23" t="str">
        <f aca="false">IF(G923="","",G923/100*INDEX(Alimentos!$H$5:$H$40,MATCH($D923,Alimentos!$B$5:$B$40,0)))</f>
        <v/>
      </c>
      <c r="L923" s="24" t="str">
        <f aca="false">IF(OR(A923="",B923=""),"",Perfil!$C$13+(A923-1)*7+MATCH(B923,{"Lunes","Martes","Miércoles","Jueves","Viernes","Sábado","Domingo"},0)-1)</f>
        <v/>
      </c>
    </row>
    <row r="924" customFormat="false" ht="15" hidden="false" customHeight="false" outlineLevel="0" collapsed="false">
      <c r="G924" s="23" t="str">
        <f aca="false">IF(OR(D924="",E924=""),"",E924*IFERROR(VLOOKUP(F924,Perfil!$B$19:$C$24,2,0),1))</f>
        <v/>
      </c>
      <c r="H924" s="23" t="str">
        <f aca="false">IF(G924="","",G924/100*INDEX(Alimentos!$E$5:$E$40,MATCH($D924,Alimentos!$B$5:$B$40,0)))</f>
        <v/>
      </c>
      <c r="I924" s="23" t="str">
        <f aca="false">IF(G924="","",G924/100*INDEX(Alimentos!$F$5:$F$40,MATCH($D924,Alimentos!$B$5:$B$40,0)))</f>
        <v/>
      </c>
      <c r="J924" s="23" t="str">
        <f aca="false">IF(G924="","",G924/100*INDEX(Alimentos!$G$5:$G$40,MATCH($D924,Alimentos!$B$5:$B$40,0)))</f>
        <v/>
      </c>
      <c r="K924" s="23" t="str">
        <f aca="false">IF(G924="","",G924/100*INDEX(Alimentos!$H$5:$H$40,MATCH($D924,Alimentos!$B$5:$B$40,0)))</f>
        <v/>
      </c>
      <c r="L924" s="24" t="str">
        <f aca="false">IF(OR(A924="",B924=""),"",Perfil!$C$13+(A924-1)*7+MATCH(B924,{"Lunes","Martes","Miércoles","Jueves","Viernes","Sábado","Domingo"},0)-1)</f>
        <v/>
      </c>
    </row>
    <row r="925" customFormat="false" ht="15" hidden="false" customHeight="false" outlineLevel="0" collapsed="false">
      <c r="G925" s="23" t="str">
        <f aca="false">IF(OR(D925="",E925=""),"",E925*IFERROR(VLOOKUP(F925,Perfil!$B$19:$C$24,2,0),1))</f>
        <v/>
      </c>
      <c r="H925" s="23" t="str">
        <f aca="false">IF(G925="","",G925/100*INDEX(Alimentos!$E$5:$E$40,MATCH($D925,Alimentos!$B$5:$B$40,0)))</f>
        <v/>
      </c>
      <c r="I925" s="23" t="str">
        <f aca="false">IF(G925="","",G925/100*INDEX(Alimentos!$F$5:$F$40,MATCH($D925,Alimentos!$B$5:$B$40,0)))</f>
        <v/>
      </c>
      <c r="J925" s="23" t="str">
        <f aca="false">IF(G925="","",G925/100*INDEX(Alimentos!$G$5:$G$40,MATCH($D925,Alimentos!$B$5:$B$40,0)))</f>
        <v/>
      </c>
      <c r="K925" s="23" t="str">
        <f aca="false">IF(G925="","",G925/100*INDEX(Alimentos!$H$5:$H$40,MATCH($D925,Alimentos!$B$5:$B$40,0)))</f>
        <v/>
      </c>
      <c r="L925" s="24" t="str">
        <f aca="false">IF(OR(A925="",B925=""),"",Perfil!$C$13+(A925-1)*7+MATCH(B925,{"Lunes","Martes","Miércoles","Jueves","Viernes","Sábado","Domingo"},0)-1)</f>
        <v/>
      </c>
    </row>
    <row r="926" customFormat="false" ht="15" hidden="false" customHeight="false" outlineLevel="0" collapsed="false">
      <c r="G926" s="23" t="str">
        <f aca="false">IF(OR(D926="",E926=""),"",E926*IFERROR(VLOOKUP(F926,Perfil!$B$19:$C$24,2,0),1))</f>
        <v/>
      </c>
      <c r="H926" s="23" t="str">
        <f aca="false">IF(G926="","",G926/100*INDEX(Alimentos!$E$5:$E$40,MATCH($D926,Alimentos!$B$5:$B$40,0)))</f>
        <v/>
      </c>
      <c r="I926" s="23" t="str">
        <f aca="false">IF(G926="","",G926/100*INDEX(Alimentos!$F$5:$F$40,MATCH($D926,Alimentos!$B$5:$B$40,0)))</f>
        <v/>
      </c>
      <c r="J926" s="23" t="str">
        <f aca="false">IF(G926="","",G926/100*INDEX(Alimentos!$G$5:$G$40,MATCH($D926,Alimentos!$B$5:$B$40,0)))</f>
        <v/>
      </c>
      <c r="K926" s="23" t="str">
        <f aca="false">IF(G926="","",G926/100*INDEX(Alimentos!$H$5:$H$40,MATCH($D926,Alimentos!$B$5:$B$40,0)))</f>
        <v/>
      </c>
      <c r="L926" s="24" t="str">
        <f aca="false">IF(OR(A926="",B926=""),"",Perfil!$C$13+(A926-1)*7+MATCH(B926,{"Lunes","Martes","Miércoles","Jueves","Viernes","Sábado","Domingo"},0)-1)</f>
        <v/>
      </c>
    </row>
    <row r="927" customFormat="false" ht="15" hidden="false" customHeight="false" outlineLevel="0" collapsed="false">
      <c r="G927" s="23" t="str">
        <f aca="false">IF(OR(D927="",E927=""),"",E927*IFERROR(VLOOKUP(F927,Perfil!$B$19:$C$24,2,0),1))</f>
        <v/>
      </c>
      <c r="H927" s="23" t="str">
        <f aca="false">IF(G927="","",G927/100*INDEX(Alimentos!$E$5:$E$40,MATCH($D927,Alimentos!$B$5:$B$40,0)))</f>
        <v/>
      </c>
      <c r="I927" s="23" t="str">
        <f aca="false">IF(G927="","",G927/100*INDEX(Alimentos!$F$5:$F$40,MATCH($D927,Alimentos!$B$5:$B$40,0)))</f>
        <v/>
      </c>
      <c r="J927" s="23" t="str">
        <f aca="false">IF(G927="","",G927/100*INDEX(Alimentos!$G$5:$G$40,MATCH($D927,Alimentos!$B$5:$B$40,0)))</f>
        <v/>
      </c>
      <c r="K927" s="23" t="str">
        <f aca="false">IF(G927="","",G927/100*INDEX(Alimentos!$H$5:$H$40,MATCH($D927,Alimentos!$B$5:$B$40,0)))</f>
        <v/>
      </c>
      <c r="L927" s="24" t="str">
        <f aca="false">IF(OR(A927="",B927=""),"",Perfil!$C$13+(A927-1)*7+MATCH(B927,{"Lunes","Martes","Miércoles","Jueves","Viernes","Sábado","Domingo"},0)-1)</f>
        <v/>
      </c>
    </row>
    <row r="928" customFormat="false" ht="15" hidden="false" customHeight="false" outlineLevel="0" collapsed="false">
      <c r="G928" s="23" t="str">
        <f aca="false">IF(OR(D928="",E928=""),"",E928*IFERROR(VLOOKUP(F928,Perfil!$B$19:$C$24,2,0),1))</f>
        <v/>
      </c>
      <c r="H928" s="23" t="str">
        <f aca="false">IF(G928="","",G928/100*INDEX(Alimentos!$E$5:$E$40,MATCH($D928,Alimentos!$B$5:$B$40,0)))</f>
        <v/>
      </c>
      <c r="I928" s="23" t="str">
        <f aca="false">IF(G928="","",G928/100*INDEX(Alimentos!$F$5:$F$40,MATCH($D928,Alimentos!$B$5:$B$40,0)))</f>
        <v/>
      </c>
      <c r="J928" s="23" t="str">
        <f aca="false">IF(G928="","",G928/100*INDEX(Alimentos!$G$5:$G$40,MATCH($D928,Alimentos!$B$5:$B$40,0)))</f>
        <v/>
      </c>
      <c r="K928" s="23" t="str">
        <f aca="false">IF(G928="","",G928/100*INDEX(Alimentos!$H$5:$H$40,MATCH($D928,Alimentos!$B$5:$B$40,0)))</f>
        <v/>
      </c>
      <c r="L928" s="24" t="str">
        <f aca="false">IF(OR(A928="",B928=""),"",Perfil!$C$13+(A928-1)*7+MATCH(B928,{"Lunes","Martes","Miércoles","Jueves","Viernes","Sábado","Domingo"},0)-1)</f>
        <v/>
      </c>
    </row>
    <row r="929" customFormat="false" ht="15" hidden="false" customHeight="false" outlineLevel="0" collapsed="false">
      <c r="G929" s="23" t="str">
        <f aca="false">IF(OR(D929="",E929=""),"",E929*IFERROR(VLOOKUP(F929,Perfil!$B$19:$C$24,2,0),1))</f>
        <v/>
      </c>
      <c r="H929" s="23" t="str">
        <f aca="false">IF(G929="","",G929/100*INDEX(Alimentos!$E$5:$E$40,MATCH($D929,Alimentos!$B$5:$B$40,0)))</f>
        <v/>
      </c>
      <c r="I929" s="23" t="str">
        <f aca="false">IF(G929="","",G929/100*INDEX(Alimentos!$F$5:$F$40,MATCH($D929,Alimentos!$B$5:$B$40,0)))</f>
        <v/>
      </c>
      <c r="J929" s="23" t="str">
        <f aca="false">IF(G929="","",G929/100*INDEX(Alimentos!$G$5:$G$40,MATCH($D929,Alimentos!$B$5:$B$40,0)))</f>
        <v/>
      </c>
      <c r="K929" s="23" t="str">
        <f aca="false">IF(G929="","",G929/100*INDEX(Alimentos!$H$5:$H$40,MATCH($D929,Alimentos!$B$5:$B$40,0)))</f>
        <v/>
      </c>
      <c r="L929" s="24" t="str">
        <f aca="false">IF(OR(A929="",B929=""),"",Perfil!$C$13+(A929-1)*7+MATCH(B929,{"Lunes","Martes","Miércoles","Jueves","Viernes","Sábado","Domingo"},0)-1)</f>
        <v/>
      </c>
    </row>
    <row r="930" customFormat="false" ht="15" hidden="false" customHeight="false" outlineLevel="0" collapsed="false">
      <c r="G930" s="23" t="str">
        <f aca="false">IF(OR(D930="",E930=""),"",E930*IFERROR(VLOOKUP(F930,Perfil!$B$19:$C$24,2,0),1))</f>
        <v/>
      </c>
      <c r="H930" s="23" t="str">
        <f aca="false">IF(G930="","",G930/100*INDEX(Alimentos!$E$5:$E$40,MATCH($D930,Alimentos!$B$5:$B$40,0)))</f>
        <v/>
      </c>
      <c r="I930" s="23" t="str">
        <f aca="false">IF(G930="","",G930/100*INDEX(Alimentos!$F$5:$F$40,MATCH($D930,Alimentos!$B$5:$B$40,0)))</f>
        <v/>
      </c>
      <c r="J930" s="23" t="str">
        <f aca="false">IF(G930="","",G930/100*INDEX(Alimentos!$G$5:$G$40,MATCH($D930,Alimentos!$B$5:$B$40,0)))</f>
        <v/>
      </c>
      <c r="K930" s="23" t="str">
        <f aca="false">IF(G930="","",G930/100*INDEX(Alimentos!$H$5:$H$40,MATCH($D930,Alimentos!$B$5:$B$40,0)))</f>
        <v/>
      </c>
      <c r="L930" s="24" t="str">
        <f aca="false">IF(OR(A930="",B930=""),"",Perfil!$C$13+(A930-1)*7+MATCH(B930,{"Lunes","Martes","Miércoles","Jueves","Viernes","Sábado","Domingo"},0)-1)</f>
        <v/>
      </c>
    </row>
    <row r="931" customFormat="false" ht="15" hidden="false" customHeight="false" outlineLevel="0" collapsed="false">
      <c r="G931" s="23" t="str">
        <f aca="false">IF(OR(D931="",E931=""),"",E931*IFERROR(VLOOKUP(F931,Perfil!$B$19:$C$24,2,0),1))</f>
        <v/>
      </c>
      <c r="H931" s="23" t="str">
        <f aca="false">IF(G931="","",G931/100*INDEX(Alimentos!$E$5:$E$40,MATCH($D931,Alimentos!$B$5:$B$40,0)))</f>
        <v/>
      </c>
      <c r="I931" s="23" t="str">
        <f aca="false">IF(G931="","",G931/100*INDEX(Alimentos!$F$5:$F$40,MATCH($D931,Alimentos!$B$5:$B$40,0)))</f>
        <v/>
      </c>
      <c r="J931" s="23" t="str">
        <f aca="false">IF(G931="","",G931/100*INDEX(Alimentos!$G$5:$G$40,MATCH($D931,Alimentos!$B$5:$B$40,0)))</f>
        <v/>
      </c>
      <c r="K931" s="23" t="str">
        <f aca="false">IF(G931="","",G931/100*INDEX(Alimentos!$H$5:$H$40,MATCH($D931,Alimentos!$B$5:$B$40,0)))</f>
        <v/>
      </c>
      <c r="L931" s="24" t="str">
        <f aca="false">IF(OR(A931="",B931=""),"",Perfil!$C$13+(A931-1)*7+MATCH(B931,{"Lunes","Martes","Miércoles","Jueves","Viernes","Sábado","Domingo"},0)-1)</f>
        <v/>
      </c>
    </row>
    <row r="932" customFormat="false" ht="15" hidden="false" customHeight="false" outlineLevel="0" collapsed="false">
      <c r="G932" s="23" t="str">
        <f aca="false">IF(OR(D932="",E932=""),"",E932*IFERROR(VLOOKUP(F932,Perfil!$B$19:$C$24,2,0),1))</f>
        <v/>
      </c>
      <c r="H932" s="23" t="str">
        <f aca="false">IF(G932="","",G932/100*INDEX(Alimentos!$E$5:$E$40,MATCH($D932,Alimentos!$B$5:$B$40,0)))</f>
        <v/>
      </c>
      <c r="I932" s="23" t="str">
        <f aca="false">IF(G932="","",G932/100*INDEX(Alimentos!$F$5:$F$40,MATCH($D932,Alimentos!$B$5:$B$40,0)))</f>
        <v/>
      </c>
      <c r="J932" s="23" t="str">
        <f aca="false">IF(G932="","",G932/100*INDEX(Alimentos!$G$5:$G$40,MATCH($D932,Alimentos!$B$5:$B$40,0)))</f>
        <v/>
      </c>
      <c r="K932" s="23" t="str">
        <f aca="false">IF(G932="","",G932/100*INDEX(Alimentos!$H$5:$H$40,MATCH($D932,Alimentos!$B$5:$B$40,0)))</f>
        <v/>
      </c>
      <c r="L932" s="24" t="str">
        <f aca="false">IF(OR(A932="",B932=""),"",Perfil!$C$13+(A932-1)*7+MATCH(B932,{"Lunes","Martes","Miércoles","Jueves","Viernes","Sábado","Domingo"},0)-1)</f>
        <v/>
      </c>
    </row>
    <row r="933" customFormat="false" ht="15" hidden="false" customHeight="false" outlineLevel="0" collapsed="false">
      <c r="G933" s="23" t="str">
        <f aca="false">IF(OR(D933="",E933=""),"",E933*IFERROR(VLOOKUP(F933,Perfil!$B$19:$C$24,2,0),1))</f>
        <v/>
      </c>
      <c r="H933" s="23" t="str">
        <f aca="false">IF(G933="","",G933/100*INDEX(Alimentos!$E$5:$E$40,MATCH($D933,Alimentos!$B$5:$B$40,0)))</f>
        <v/>
      </c>
      <c r="I933" s="23" t="str">
        <f aca="false">IF(G933="","",G933/100*INDEX(Alimentos!$F$5:$F$40,MATCH($D933,Alimentos!$B$5:$B$40,0)))</f>
        <v/>
      </c>
      <c r="J933" s="23" t="str">
        <f aca="false">IF(G933="","",G933/100*INDEX(Alimentos!$G$5:$G$40,MATCH($D933,Alimentos!$B$5:$B$40,0)))</f>
        <v/>
      </c>
      <c r="K933" s="23" t="str">
        <f aca="false">IF(G933="","",G933/100*INDEX(Alimentos!$H$5:$H$40,MATCH($D933,Alimentos!$B$5:$B$40,0)))</f>
        <v/>
      </c>
      <c r="L933" s="24" t="str">
        <f aca="false">IF(OR(A933="",B933=""),"",Perfil!$C$13+(A933-1)*7+MATCH(B933,{"Lunes","Martes","Miércoles","Jueves","Viernes","Sábado","Domingo"},0)-1)</f>
        <v/>
      </c>
    </row>
    <row r="934" customFormat="false" ht="15" hidden="false" customHeight="false" outlineLevel="0" collapsed="false">
      <c r="G934" s="23" t="str">
        <f aca="false">IF(OR(D934="",E934=""),"",E934*IFERROR(VLOOKUP(F934,Perfil!$B$19:$C$24,2,0),1))</f>
        <v/>
      </c>
      <c r="H934" s="23" t="str">
        <f aca="false">IF(G934="","",G934/100*INDEX(Alimentos!$E$5:$E$40,MATCH($D934,Alimentos!$B$5:$B$40,0)))</f>
        <v/>
      </c>
      <c r="I934" s="23" t="str">
        <f aca="false">IF(G934="","",G934/100*INDEX(Alimentos!$F$5:$F$40,MATCH($D934,Alimentos!$B$5:$B$40,0)))</f>
        <v/>
      </c>
      <c r="J934" s="23" t="str">
        <f aca="false">IF(G934="","",G934/100*INDEX(Alimentos!$G$5:$G$40,MATCH($D934,Alimentos!$B$5:$B$40,0)))</f>
        <v/>
      </c>
      <c r="K934" s="23" t="str">
        <f aca="false">IF(G934="","",G934/100*INDEX(Alimentos!$H$5:$H$40,MATCH($D934,Alimentos!$B$5:$B$40,0)))</f>
        <v/>
      </c>
      <c r="L934" s="24" t="str">
        <f aca="false">IF(OR(A934="",B934=""),"",Perfil!$C$13+(A934-1)*7+MATCH(B934,{"Lunes","Martes","Miércoles","Jueves","Viernes","Sábado","Domingo"},0)-1)</f>
        <v/>
      </c>
    </row>
    <row r="935" customFormat="false" ht="15" hidden="false" customHeight="false" outlineLevel="0" collapsed="false">
      <c r="G935" s="23" t="str">
        <f aca="false">IF(OR(D935="",E935=""),"",E935*IFERROR(VLOOKUP(F935,Perfil!$B$19:$C$24,2,0),1))</f>
        <v/>
      </c>
      <c r="H935" s="23" t="str">
        <f aca="false">IF(G935="","",G935/100*INDEX(Alimentos!$E$5:$E$40,MATCH($D935,Alimentos!$B$5:$B$40,0)))</f>
        <v/>
      </c>
      <c r="I935" s="23" t="str">
        <f aca="false">IF(G935="","",G935/100*INDEX(Alimentos!$F$5:$F$40,MATCH($D935,Alimentos!$B$5:$B$40,0)))</f>
        <v/>
      </c>
      <c r="J935" s="23" t="str">
        <f aca="false">IF(G935="","",G935/100*INDEX(Alimentos!$G$5:$G$40,MATCH($D935,Alimentos!$B$5:$B$40,0)))</f>
        <v/>
      </c>
      <c r="K935" s="23" t="str">
        <f aca="false">IF(G935="","",G935/100*INDEX(Alimentos!$H$5:$H$40,MATCH($D935,Alimentos!$B$5:$B$40,0)))</f>
        <v/>
      </c>
      <c r="L935" s="24" t="str">
        <f aca="false">IF(OR(A935="",B935=""),"",Perfil!$C$13+(A935-1)*7+MATCH(B935,{"Lunes","Martes","Miércoles","Jueves","Viernes","Sábado","Domingo"},0)-1)</f>
        <v/>
      </c>
    </row>
    <row r="936" customFormat="false" ht="15" hidden="false" customHeight="false" outlineLevel="0" collapsed="false">
      <c r="G936" s="23" t="str">
        <f aca="false">IF(OR(D936="",E936=""),"",E936*IFERROR(VLOOKUP(F936,Perfil!$B$19:$C$24,2,0),1))</f>
        <v/>
      </c>
      <c r="H936" s="23" t="str">
        <f aca="false">IF(G936="","",G936/100*INDEX(Alimentos!$E$5:$E$40,MATCH($D936,Alimentos!$B$5:$B$40,0)))</f>
        <v/>
      </c>
      <c r="I936" s="23" t="str">
        <f aca="false">IF(G936="","",G936/100*INDEX(Alimentos!$F$5:$F$40,MATCH($D936,Alimentos!$B$5:$B$40,0)))</f>
        <v/>
      </c>
      <c r="J936" s="23" t="str">
        <f aca="false">IF(G936="","",G936/100*INDEX(Alimentos!$G$5:$G$40,MATCH($D936,Alimentos!$B$5:$B$40,0)))</f>
        <v/>
      </c>
      <c r="K936" s="23" t="str">
        <f aca="false">IF(G936="","",G936/100*INDEX(Alimentos!$H$5:$H$40,MATCH($D936,Alimentos!$B$5:$B$40,0)))</f>
        <v/>
      </c>
      <c r="L936" s="24" t="str">
        <f aca="false">IF(OR(A936="",B936=""),"",Perfil!$C$13+(A936-1)*7+MATCH(B936,{"Lunes","Martes","Miércoles","Jueves","Viernes","Sábado","Domingo"},0)-1)</f>
        <v/>
      </c>
    </row>
    <row r="937" customFormat="false" ht="15" hidden="false" customHeight="false" outlineLevel="0" collapsed="false">
      <c r="G937" s="23" t="str">
        <f aca="false">IF(OR(D937="",E937=""),"",E937*IFERROR(VLOOKUP(F937,Perfil!$B$19:$C$24,2,0),1))</f>
        <v/>
      </c>
      <c r="H937" s="23" t="str">
        <f aca="false">IF(G937="","",G937/100*INDEX(Alimentos!$E$5:$E$40,MATCH($D937,Alimentos!$B$5:$B$40,0)))</f>
        <v/>
      </c>
      <c r="I937" s="23" t="str">
        <f aca="false">IF(G937="","",G937/100*INDEX(Alimentos!$F$5:$F$40,MATCH($D937,Alimentos!$B$5:$B$40,0)))</f>
        <v/>
      </c>
      <c r="J937" s="23" t="str">
        <f aca="false">IF(G937="","",G937/100*INDEX(Alimentos!$G$5:$G$40,MATCH($D937,Alimentos!$B$5:$B$40,0)))</f>
        <v/>
      </c>
      <c r="K937" s="23" t="str">
        <f aca="false">IF(G937="","",G937/100*INDEX(Alimentos!$H$5:$H$40,MATCH($D937,Alimentos!$B$5:$B$40,0)))</f>
        <v/>
      </c>
      <c r="L937" s="24" t="str">
        <f aca="false">IF(OR(A937="",B937=""),"",Perfil!$C$13+(A937-1)*7+MATCH(B937,{"Lunes","Martes","Miércoles","Jueves","Viernes","Sábado","Domingo"},0)-1)</f>
        <v/>
      </c>
    </row>
    <row r="938" customFormat="false" ht="15" hidden="false" customHeight="false" outlineLevel="0" collapsed="false">
      <c r="G938" s="23" t="str">
        <f aca="false">IF(OR(D938="",E938=""),"",E938*IFERROR(VLOOKUP(F938,Perfil!$B$19:$C$24,2,0),1))</f>
        <v/>
      </c>
      <c r="H938" s="23" t="str">
        <f aca="false">IF(G938="","",G938/100*INDEX(Alimentos!$E$5:$E$40,MATCH($D938,Alimentos!$B$5:$B$40,0)))</f>
        <v/>
      </c>
      <c r="I938" s="23" t="str">
        <f aca="false">IF(G938="","",G938/100*INDEX(Alimentos!$F$5:$F$40,MATCH($D938,Alimentos!$B$5:$B$40,0)))</f>
        <v/>
      </c>
      <c r="J938" s="23" t="str">
        <f aca="false">IF(G938="","",G938/100*INDEX(Alimentos!$G$5:$G$40,MATCH($D938,Alimentos!$B$5:$B$40,0)))</f>
        <v/>
      </c>
      <c r="K938" s="23" t="str">
        <f aca="false">IF(G938="","",G938/100*INDEX(Alimentos!$H$5:$H$40,MATCH($D938,Alimentos!$B$5:$B$40,0)))</f>
        <v/>
      </c>
      <c r="L938" s="24" t="str">
        <f aca="false">IF(OR(A938="",B938=""),"",Perfil!$C$13+(A938-1)*7+MATCH(B938,{"Lunes","Martes","Miércoles","Jueves","Viernes","Sábado","Domingo"},0)-1)</f>
        <v/>
      </c>
    </row>
    <row r="939" customFormat="false" ht="15" hidden="false" customHeight="false" outlineLevel="0" collapsed="false">
      <c r="G939" s="23" t="str">
        <f aca="false">IF(OR(D939="",E939=""),"",E939*IFERROR(VLOOKUP(F939,Perfil!$B$19:$C$24,2,0),1))</f>
        <v/>
      </c>
      <c r="H939" s="23" t="str">
        <f aca="false">IF(G939="","",G939/100*INDEX(Alimentos!$E$5:$E$40,MATCH($D939,Alimentos!$B$5:$B$40,0)))</f>
        <v/>
      </c>
      <c r="I939" s="23" t="str">
        <f aca="false">IF(G939="","",G939/100*INDEX(Alimentos!$F$5:$F$40,MATCH($D939,Alimentos!$B$5:$B$40,0)))</f>
        <v/>
      </c>
      <c r="J939" s="23" t="str">
        <f aca="false">IF(G939="","",G939/100*INDEX(Alimentos!$G$5:$G$40,MATCH($D939,Alimentos!$B$5:$B$40,0)))</f>
        <v/>
      </c>
      <c r="K939" s="23" t="str">
        <f aca="false">IF(G939="","",G939/100*INDEX(Alimentos!$H$5:$H$40,MATCH($D939,Alimentos!$B$5:$B$40,0)))</f>
        <v/>
      </c>
      <c r="L939" s="24" t="str">
        <f aca="false">IF(OR(A939="",B939=""),"",Perfil!$C$13+(A939-1)*7+MATCH(B939,{"Lunes","Martes","Miércoles","Jueves","Viernes","Sábado","Domingo"},0)-1)</f>
        <v/>
      </c>
    </row>
    <row r="940" customFormat="false" ht="15" hidden="false" customHeight="false" outlineLevel="0" collapsed="false">
      <c r="G940" s="23" t="str">
        <f aca="false">IF(OR(D940="",E940=""),"",E940*IFERROR(VLOOKUP(F940,Perfil!$B$19:$C$24,2,0),1))</f>
        <v/>
      </c>
      <c r="H940" s="23" t="str">
        <f aca="false">IF(G940="","",G940/100*INDEX(Alimentos!$E$5:$E$40,MATCH($D940,Alimentos!$B$5:$B$40,0)))</f>
        <v/>
      </c>
      <c r="I940" s="23" t="str">
        <f aca="false">IF(G940="","",G940/100*INDEX(Alimentos!$F$5:$F$40,MATCH($D940,Alimentos!$B$5:$B$40,0)))</f>
        <v/>
      </c>
      <c r="J940" s="23" t="str">
        <f aca="false">IF(G940="","",G940/100*INDEX(Alimentos!$G$5:$G$40,MATCH($D940,Alimentos!$B$5:$B$40,0)))</f>
        <v/>
      </c>
      <c r="K940" s="23" t="str">
        <f aca="false">IF(G940="","",G940/100*INDEX(Alimentos!$H$5:$H$40,MATCH($D940,Alimentos!$B$5:$B$40,0)))</f>
        <v/>
      </c>
      <c r="L940" s="24" t="str">
        <f aca="false">IF(OR(A940="",B940=""),"",Perfil!$C$13+(A940-1)*7+MATCH(B940,{"Lunes","Martes","Miércoles","Jueves","Viernes","Sábado","Domingo"},0)-1)</f>
        <v/>
      </c>
    </row>
    <row r="941" customFormat="false" ht="15" hidden="false" customHeight="false" outlineLevel="0" collapsed="false">
      <c r="G941" s="23" t="str">
        <f aca="false">IF(OR(D941="",E941=""),"",E941*IFERROR(VLOOKUP(F941,Perfil!$B$19:$C$24,2,0),1))</f>
        <v/>
      </c>
      <c r="H941" s="23" t="str">
        <f aca="false">IF(G941="","",G941/100*INDEX(Alimentos!$E$5:$E$40,MATCH($D941,Alimentos!$B$5:$B$40,0)))</f>
        <v/>
      </c>
      <c r="I941" s="23" t="str">
        <f aca="false">IF(G941="","",G941/100*INDEX(Alimentos!$F$5:$F$40,MATCH($D941,Alimentos!$B$5:$B$40,0)))</f>
        <v/>
      </c>
      <c r="J941" s="23" t="str">
        <f aca="false">IF(G941="","",G941/100*INDEX(Alimentos!$G$5:$G$40,MATCH($D941,Alimentos!$B$5:$B$40,0)))</f>
        <v/>
      </c>
      <c r="K941" s="23" t="str">
        <f aca="false">IF(G941="","",G941/100*INDEX(Alimentos!$H$5:$H$40,MATCH($D941,Alimentos!$B$5:$B$40,0)))</f>
        <v/>
      </c>
      <c r="L941" s="24" t="str">
        <f aca="false">IF(OR(A941="",B941=""),"",Perfil!$C$13+(A941-1)*7+MATCH(B941,{"Lunes","Martes","Miércoles","Jueves","Viernes","Sábado","Domingo"},0)-1)</f>
        <v/>
      </c>
    </row>
    <row r="942" customFormat="false" ht="15" hidden="false" customHeight="false" outlineLevel="0" collapsed="false">
      <c r="G942" s="23" t="str">
        <f aca="false">IF(OR(D942="",E942=""),"",E942*IFERROR(VLOOKUP(F942,Perfil!$B$19:$C$24,2,0),1))</f>
        <v/>
      </c>
      <c r="H942" s="23" t="str">
        <f aca="false">IF(G942="","",G942/100*INDEX(Alimentos!$E$5:$E$40,MATCH($D942,Alimentos!$B$5:$B$40,0)))</f>
        <v/>
      </c>
      <c r="I942" s="23" t="str">
        <f aca="false">IF(G942="","",G942/100*INDEX(Alimentos!$F$5:$F$40,MATCH($D942,Alimentos!$B$5:$B$40,0)))</f>
        <v/>
      </c>
      <c r="J942" s="23" t="str">
        <f aca="false">IF(G942="","",G942/100*INDEX(Alimentos!$G$5:$G$40,MATCH($D942,Alimentos!$B$5:$B$40,0)))</f>
        <v/>
      </c>
      <c r="K942" s="23" t="str">
        <f aca="false">IF(G942="","",G942/100*INDEX(Alimentos!$H$5:$H$40,MATCH($D942,Alimentos!$B$5:$B$40,0)))</f>
        <v/>
      </c>
      <c r="L942" s="24" t="str">
        <f aca="false">IF(OR(A942="",B942=""),"",Perfil!$C$13+(A942-1)*7+MATCH(B942,{"Lunes","Martes","Miércoles","Jueves","Viernes","Sábado","Domingo"},0)-1)</f>
        <v/>
      </c>
    </row>
    <row r="943" customFormat="false" ht="15" hidden="false" customHeight="false" outlineLevel="0" collapsed="false">
      <c r="G943" s="23" t="str">
        <f aca="false">IF(OR(D943="",E943=""),"",E943*IFERROR(VLOOKUP(F943,Perfil!$B$19:$C$24,2,0),1))</f>
        <v/>
      </c>
      <c r="H943" s="23" t="str">
        <f aca="false">IF(G943="","",G943/100*INDEX(Alimentos!$E$5:$E$40,MATCH($D943,Alimentos!$B$5:$B$40,0)))</f>
        <v/>
      </c>
      <c r="I943" s="23" t="str">
        <f aca="false">IF(G943="","",G943/100*INDEX(Alimentos!$F$5:$F$40,MATCH($D943,Alimentos!$B$5:$B$40,0)))</f>
        <v/>
      </c>
      <c r="J943" s="23" t="str">
        <f aca="false">IF(G943="","",G943/100*INDEX(Alimentos!$G$5:$G$40,MATCH($D943,Alimentos!$B$5:$B$40,0)))</f>
        <v/>
      </c>
      <c r="K943" s="23" t="str">
        <f aca="false">IF(G943="","",G943/100*INDEX(Alimentos!$H$5:$H$40,MATCH($D943,Alimentos!$B$5:$B$40,0)))</f>
        <v/>
      </c>
      <c r="L943" s="24" t="str">
        <f aca="false">IF(OR(A943="",B943=""),"",Perfil!$C$13+(A943-1)*7+MATCH(B943,{"Lunes","Martes","Miércoles","Jueves","Viernes","Sábado","Domingo"},0)-1)</f>
        <v/>
      </c>
    </row>
    <row r="944" customFormat="false" ht="15" hidden="false" customHeight="false" outlineLevel="0" collapsed="false">
      <c r="G944" s="23" t="str">
        <f aca="false">IF(OR(D944="",E944=""),"",E944*IFERROR(VLOOKUP(F944,Perfil!$B$19:$C$24,2,0),1))</f>
        <v/>
      </c>
      <c r="H944" s="23" t="str">
        <f aca="false">IF(G944="","",G944/100*INDEX(Alimentos!$E$5:$E$40,MATCH($D944,Alimentos!$B$5:$B$40,0)))</f>
        <v/>
      </c>
      <c r="I944" s="23" t="str">
        <f aca="false">IF(G944="","",G944/100*INDEX(Alimentos!$F$5:$F$40,MATCH($D944,Alimentos!$B$5:$B$40,0)))</f>
        <v/>
      </c>
      <c r="J944" s="23" t="str">
        <f aca="false">IF(G944="","",G944/100*INDEX(Alimentos!$G$5:$G$40,MATCH($D944,Alimentos!$B$5:$B$40,0)))</f>
        <v/>
      </c>
      <c r="K944" s="23" t="str">
        <f aca="false">IF(G944="","",G944/100*INDEX(Alimentos!$H$5:$H$40,MATCH($D944,Alimentos!$B$5:$B$40,0)))</f>
        <v/>
      </c>
      <c r="L944" s="24" t="str">
        <f aca="false">IF(OR(A944="",B944=""),"",Perfil!$C$13+(A944-1)*7+MATCH(B944,{"Lunes","Martes","Miércoles","Jueves","Viernes","Sábado","Domingo"},0)-1)</f>
        <v/>
      </c>
    </row>
    <row r="945" customFormat="false" ht="15" hidden="false" customHeight="false" outlineLevel="0" collapsed="false">
      <c r="G945" s="23" t="str">
        <f aca="false">IF(OR(D945="",E945=""),"",E945*IFERROR(VLOOKUP(F945,Perfil!$B$19:$C$24,2,0),1))</f>
        <v/>
      </c>
      <c r="H945" s="23" t="str">
        <f aca="false">IF(G945="","",G945/100*INDEX(Alimentos!$E$5:$E$40,MATCH($D945,Alimentos!$B$5:$B$40,0)))</f>
        <v/>
      </c>
      <c r="I945" s="23" t="str">
        <f aca="false">IF(G945="","",G945/100*INDEX(Alimentos!$F$5:$F$40,MATCH($D945,Alimentos!$B$5:$B$40,0)))</f>
        <v/>
      </c>
      <c r="J945" s="23" t="str">
        <f aca="false">IF(G945="","",G945/100*INDEX(Alimentos!$G$5:$G$40,MATCH($D945,Alimentos!$B$5:$B$40,0)))</f>
        <v/>
      </c>
      <c r="K945" s="23" t="str">
        <f aca="false">IF(G945="","",G945/100*INDEX(Alimentos!$H$5:$H$40,MATCH($D945,Alimentos!$B$5:$B$40,0)))</f>
        <v/>
      </c>
      <c r="L945" s="24" t="str">
        <f aca="false">IF(OR(A945="",B945=""),"",Perfil!$C$13+(A945-1)*7+MATCH(B945,{"Lunes","Martes","Miércoles","Jueves","Viernes","Sábado","Domingo"},0)-1)</f>
        <v/>
      </c>
    </row>
    <row r="946" customFormat="false" ht="15" hidden="false" customHeight="false" outlineLevel="0" collapsed="false">
      <c r="G946" s="23" t="str">
        <f aca="false">IF(OR(D946="",E946=""),"",E946*IFERROR(VLOOKUP(F946,Perfil!$B$19:$C$24,2,0),1))</f>
        <v/>
      </c>
      <c r="H946" s="23" t="str">
        <f aca="false">IF(G946="","",G946/100*INDEX(Alimentos!$E$5:$E$40,MATCH($D946,Alimentos!$B$5:$B$40,0)))</f>
        <v/>
      </c>
      <c r="I946" s="23" t="str">
        <f aca="false">IF(G946="","",G946/100*INDEX(Alimentos!$F$5:$F$40,MATCH($D946,Alimentos!$B$5:$B$40,0)))</f>
        <v/>
      </c>
      <c r="J946" s="23" t="str">
        <f aca="false">IF(G946="","",G946/100*INDEX(Alimentos!$G$5:$G$40,MATCH($D946,Alimentos!$B$5:$B$40,0)))</f>
        <v/>
      </c>
      <c r="K946" s="23" t="str">
        <f aca="false">IF(G946="","",G946/100*INDEX(Alimentos!$H$5:$H$40,MATCH($D946,Alimentos!$B$5:$B$40,0)))</f>
        <v/>
      </c>
      <c r="L946" s="24" t="str">
        <f aca="false">IF(OR(A946="",B946=""),"",Perfil!$C$13+(A946-1)*7+MATCH(B946,{"Lunes","Martes","Miércoles","Jueves","Viernes","Sábado","Domingo"},0)-1)</f>
        <v/>
      </c>
    </row>
    <row r="947" customFormat="false" ht="15" hidden="false" customHeight="false" outlineLevel="0" collapsed="false">
      <c r="G947" s="23" t="str">
        <f aca="false">IF(OR(D947="",E947=""),"",E947*IFERROR(VLOOKUP(F947,Perfil!$B$19:$C$24,2,0),1))</f>
        <v/>
      </c>
      <c r="H947" s="23" t="str">
        <f aca="false">IF(G947="","",G947/100*INDEX(Alimentos!$E$5:$E$40,MATCH($D947,Alimentos!$B$5:$B$40,0)))</f>
        <v/>
      </c>
      <c r="I947" s="23" t="str">
        <f aca="false">IF(G947="","",G947/100*INDEX(Alimentos!$F$5:$F$40,MATCH($D947,Alimentos!$B$5:$B$40,0)))</f>
        <v/>
      </c>
      <c r="J947" s="23" t="str">
        <f aca="false">IF(G947="","",G947/100*INDEX(Alimentos!$G$5:$G$40,MATCH($D947,Alimentos!$B$5:$B$40,0)))</f>
        <v/>
      </c>
      <c r="K947" s="23" t="str">
        <f aca="false">IF(G947="","",G947/100*INDEX(Alimentos!$H$5:$H$40,MATCH($D947,Alimentos!$B$5:$B$40,0)))</f>
        <v/>
      </c>
      <c r="L947" s="24" t="str">
        <f aca="false">IF(OR(A947="",B947=""),"",Perfil!$C$13+(A947-1)*7+MATCH(B947,{"Lunes","Martes","Miércoles","Jueves","Viernes","Sábado","Domingo"},0)-1)</f>
        <v/>
      </c>
    </row>
    <row r="948" customFormat="false" ht="15" hidden="false" customHeight="false" outlineLevel="0" collapsed="false">
      <c r="G948" s="23" t="str">
        <f aca="false">IF(OR(D948="",E948=""),"",E948*IFERROR(VLOOKUP(F948,Perfil!$B$19:$C$24,2,0),1))</f>
        <v/>
      </c>
      <c r="H948" s="23" t="str">
        <f aca="false">IF(G948="","",G948/100*INDEX(Alimentos!$E$5:$E$40,MATCH($D948,Alimentos!$B$5:$B$40,0)))</f>
        <v/>
      </c>
      <c r="I948" s="23" t="str">
        <f aca="false">IF(G948="","",G948/100*INDEX(Alimentos!$F$5:$F$40,MATCH($D948,Alimentos!$B$5:$B$40,0)))</f>
        <v/>
      </c>
      <c r="J948" s="23" t="str">
        <f aca="false">IF(G948="","",G948/100*INDEX(Alimentos!$G$5:$G$40,MATCH($D948,Alimentos!$B$5:$B$40,0)))</f>
        <v/>
      </c>
      <c r="K948" s="23" t="str">
        <f aca="false">IF(G948="","",G948/100*INDEX(Alimentos!$H$5:$H$40,MATCH($D948,Alimentos!$B$5:$B$40,0)))</f>
        <v/>
      </c>
      <c r="L948" s="24" t="str">
        <f aca="false">IF(OR(A948="",B948=""),"",Perfil!$C$13+(A948-1)*7+MATCH(B948,{"Lunes","Martes","Miércoles","Jueves","Viernes","Sábado","Domingo"},0)-1)</f>
        <v/>
      </c>
    </row>
    <row r="949" customFormat="false" ht="15" hidden="false" customHeight="false" outlineLevel="0" collapsed="false">
      <c r="G949" s="23" t="str">
        <f aca="false">IF(OR(D949="",E949=""),"",E949*IFERROR(VLOOKUP(F949,Perfil!$B$19:$C$24,2,0),1))</f>
        <v/>
      </c>
      <c r="H949" s="23" t="str">
        <f aca="false">IF(G949="","",G949/100*INDEX(Alimentos!$E$5:$E$40,MATCH($D949,Alimentos!$B$5:$B$40,0)))</f>
        <v/>
      </c>
      <c r="I949" s="23" t="str">
        <f aca="false">IF(G949="","",G949/100*INDEX(Alimentos!$F$5:$F$40,MATCH($D949,Alimentos!$B$5:$B$40,0)))</f>
        <v/>
      </c>
      <c r="J949" s="23" t="str">
        <f aca="false">IF(G949="","",G949/100*INDEX(Alimentos!$G$5:$G$40,MATCH($D949,Alimentos!$B$5:$B$40,0)))</f>
        <v/>
      </c>
      <c r="K949" s="23" t="str">
        <f aca="false">IF(G949="","",G949/100*INDEX(Alimentos!$H$5:$H$40,MATCH($D949,Alimentos!$B$5:$B$40,0)))</f>
        <v/>
      </c>
      <c r="L949" s="24" t="str">
        <f aca="false">IF(OR(A949="",B949=""),"",Perfil!$C$13+(A949-1)*7+MATCH(B949,{"Lunes","Martes","Miércoles","Jueves","Viernes","Sábado","Domingo"},0)-1)</f>
        <v/>
      </c>
    </row>
    <row r="950" customFormat="false" ht="15" hidden="false" customHeight="false" outlineLevel="0" collapsed="false">
      <c r="G950" s="23" t="str">
        <f aca="false">IF(OR(D950="",E950=""),"",E950*IFERROR(VLOOKUP(F950,Perfil!$B$19:$C$24,2,0),1))</f>
        <v/>
      </c>
      <c r="H950" s="23" t="str">
        <f aca="false">IF(G950="","",G950/100*INDEX(Alimentos!$E$5:$E$40,MATCH($D950,Alimentos!$B$5:$B$40,0)))</f>
        <v/>
      </c>
      <c r="I950" s="23" t="str">
        <f aca="false">IF(G950="","",G950/100*INDEX(Alimentos!$F$5:$F$40,MATCH($D950,Alimentos!$B$5:$B$40,0)))</f>
        <v/>
      </c>
      <c r="J950" s="23" t="str">
        <f aca="false">IF(G950="","",G950/100*INDEX(Alimentos!$G$5:$G$40,MATCH($D950,Alimentos!$B$5:$B$40,0)))</f>
        <v/>
      </c>
      <c r="K950" s="23" t="str">
        <f aca="false">IF(G950="","",G950/100*INDEX(Alimentos!$H$5:$H$40,MATCH($D950,Alimentos!$B$5:$B$40,0)))</f>
        <v/>
      </c>
      <c r="L950" s="24" t="str">
        <f aca="false">IF(OR(A950="",B950=""),"",Perfil!$C$13+(A950-1)*7+MATCH(B950,{"Lunes","Martes","Miércoles","Jueves","Viernes","Sábado","Domingo"},0)-1)</f>
        <v/>
      </c>
    </row>
    <row r="951" customFormat="false" ht="15" hidden="false" customHeight="false" outlineLevel="0" collapsed="false">
      <c r="G951" s="23" t="str">
        <f aca="false">IF(OR(D951="",E951=""),"",E951*IFERROR(VLOOKUP(F951,Perfil!$B$19:$C$24,2,0),1))</f>
        <v/>
      </c>
      <c r="H951" s="23" t="str">
        <f aca="false">IF(G951="","",G951/100*INDEX(Alimentos!$E$5:$E$40,MATCH($D951,Alimentos!$B$5:$B$40,0)))</f>
        <v/>
      </c>
      <c r="I951" s="23" t="str">
        <f aca="false">IF(G951="","",G951/100*INDEX(Alimentos!$F$5:$F$40,MATCH($D951,Alimentos!$B$5:$B$40,0)))</f>
        <v/>
      </c>
      <c r="J951" s="23" t="str">
        <f aca="false">IF(G951="","",G951/100*INDEX(Alimentos!$G$5:$G$40,MATCH($D951,Alimentos!$B$5:$B$40,0)))</f>
        <v/>
      </c>
      <c r="K951" s="23" t="str">
        <f aca="false">IF(G951="","",G951/100*INDEX(Alimentos!$H$5:$H$40,MATCH($D951,Alimentos!$B$5:$B$40,0)))</f>
        <v/>
      </c>
      <c r="L951" s="24" t="str">
        <f aca="false">IF(OR(A951="",B951=""),"",Perfil!$C$13+(A951-1)*7+MATCH(B951,{"Lunes","Martes","Miércoles","Jueves","Viernes","Sábado","Domingo"},0)-1)</f>
        <v/>
      </c>
    </row>
    <row r="952" customFormat="false" ht="15" hidden="false" customHeight="false" outlineLevel="0" collapsed="false">
      <c r="G952" s="23" t="str">
        <f aca="false">IF(OR(D952="",E952=""),"",E952*IFERROR(VLOOKUP(F952,Perfil!$B$19:$C$24,2,0),1))</f>
        <v/>
      </c>
      <c r="H952" s="23" t="str">
        <f aca="false">IF(G952="","",G952/100*INDEX(Alimentos!$E$5:$E$40,MATCH($D952,Alimentos!$B$5:$B$40,0)))</f>
        <v/>
      </c>
      <c r="I952" s="23" t="str">
        <f aca="false">IF(G952="","",G952/100*INDEX(Alimentos!$F$5:$F$40,MATCH($D952,Alimentos!$B$5:$B$40,0)))</f>
        <v/>
      </c>
      <c r="J952" s="23" t="str">
        <f aca="false">IF(G952="","",G952/100*INDEX(Alimentos!$G$5:$G$40,MATCH($D952,Alimentos!$B$5:$B$40,0)))</f>
        <v/>
      </c>
      <c r="K952" s="23" t="str">
        <f aca="false">IF(G952="","",G952/100*INDEX(Alimentos!$H$5:$H$40,MATCH($D952,Alimentos!$B$5:$B$40,0)))</f>
        <v/>
      </c>
      <c r="L952" s="24" t="str">
        <f aca="false">IF(OR(A952="",B952=""),"",Perfil!$C$13+(A952-1)*7+MATCH(B952,{"Lunes","Martes","Miércoles","Jueves","Viernes","Sábado","Domingo"},0)-1)</f>
        <v/>
      </c>
    </row>
    <row r="953" customFormat="false" ht="15" hidden="false" customHeight="false" outlineLevel="0" collapsed="false">
      <c r="G953" s="23" t="str">
        <f aca="false">IF(OR(D953="",E953=""),"",E953*IFERROR(VLOOKUP(F953,Perfil!$B$19:$C$24,2,0),1))</f>
        <v/>
      </c>
      <c r="H953" s="23" t="str">
        <f aca="false">IF(G953="","",G953/100*INDEX(Alimentos!$E$5:$E$40,MATCH($D953,Alimentos!$B$5:$B$40,0)))</f>
        <v/>
      </c>
      <c r="I953" s="23" t="str">
        <f aca="false">IF(G953="","",G953/100*INDEX(Alimentos!$F$5:$F$40,MATCH($D953,Alimentos!$B$5:$B$40,0)))</f>
        <v/>
      </c>
      <c r="J953" s="23" t="str">
        <f aca="false">IF(G953="","",G953/100*INDEX(Alimentos!$G$5:$G$40,MATCH($D953,Alimentos!$B$5:$B$40,0)))</f>
        <v/>
      </c>
      <c r="K953" s="23" t="str">
        <f aca="false">IF(G953="","",G953/100*INDEX(Alimentos!$H$5:$H$40,MATCH($D953,Alimentos!$B$5:$B$40,0)))</f>
        <v/>
      </c>
      <c r="L953" s="24" t="str">
        <f aca="false">IF(OR(A953="",B953=""),"",Perfil!$C$13+(A953-1)*7+MATCH(B953,{"Lunes","Martes","Miércoles","Jueves","Viernes","Sábado","Domingo"},0)-1)</f>
        <v/>
      </c>
    </row>
    <row r="954" customFormat="false" ht="15" hidden="false" customHeight="false" outlineLevel="0" collapsed="false">
      <c r="G954" s="23" t="str">
        <f aca="false">IF(OR(D954="",E954=""),"",E954*IFERROR(VLOOKUP(F954,Perfil!$B$19:$C$24,2,0),1))</f>
        <v/>
      </c>
      <c r="H954" s="23" t="str">
        <f aca="false">IF(G954="","",G954/100*INDEX(Alimentos!$E$5:$E$40,MATCH($D954,Alimentos!$B$5:$B$40,0)))</f>
        <v/>
      </c>
      <c r="I954" s="23" t="str">
        <f aca="false">IF(G954="","",G954/100*INDEX(Alimentos!$F$5:$F$40,MATCH($D954,Alimentos!$B$5:$B$40,0)))</f>
        <v/>
      </c>
      <c r="J954" s="23" t="str">
        <f aca="false">IF(G954="","",G954/100*INDEX(Alimentos!$G$5:$G$40,MATCH($D954,Alimentos!$B$5:$B$40,0)))</f>
        <v/>
      </c>
      <c r="K954" s="23" t="str">
        <f aca="false">IF(G954="","",G954/100*INDEX(Alimentos!$H$5:$H$40,MATCH($D954,Alimentos!$B$5:$B$40,0)))</f>
        <v/>
      </c>
      <c r="L954" s="24" t="str">
        <f aca="false">IF(OR(A954="",B954=""),"",Perfil!$C$13+(A954-1)*7+MATCH(B954,{"Lunes","Martes","Miércoles","Jueves","Viernes","Sábado","Domingo"},0)-1)</f>
        <v/>
      </c>
    </row>
    <row r="955" customFormat="false" ht="15" hidden="false" customHeight="false" outlineLevel="0" collapsed="false">
      <c r="G955" s="23" t="str">
        <f aca="false">IF(OR(D955="",E955=""),"",E955*IFERROR(VLOOKUP(F955,Perfil!$B$19:$C$24,2,0),1))</f>
        <v/>
      </c>
      <c r="H955" s="23" t="str">
        <f aca="false">IF(G955="","",G955/100*INDEX(Alimentos!$E$5:$E$40,MATCH($D955,Alimentos!$B$5:$B$40,0)))</f>
        <v/>
      </c>
      <c r="I955" s="23" t="str">
        <f aca="false">IF(G955="","",G955/100*INDEX(Alimentos!$F$5:$F$40,MATCH($D955,Alimentos!$B$5:$B$40,0)))</f>
        <v/>
      </c>
      <c r="J955" s="23" t="str">
        <f aca="false">IF(G955="","",G955/100*INDEX(Alimentos!$G$5:$G$40,MATCH($D955,Alimentos!$B$5:$B$40,0)))</f>
        <v/>
      </c>
      <c r="K955" s="23" t="str">
        <f aca="false">IF(G955="","",G955/100*INDEX(Alimentos!$H$5:$H$40,MATCH($D955,Alimentos!$B$5:$B$40,0)))</f>
        <v/>
      </c>
      <c r="L955" s="24" t="str">
        <f aca="false">IF(OR(A955="",B955=""),"",Perfil!$C$13+(A955-1)*7+MATCH(B955,{"Lunes","Martes","Miércoles","Jueves","Viernes","Sábado","Domingo"},0)-1)</f>
        <v/>
      </c>
    </row>
    <row r="956" customFormat="false" ht="15" hidden="false" customHeight="false" outlineLevel="0" collapsed="false">
      <c r="G956" s="23" t="str">
        <f aca="false">IF(OR(D956="",E956=""),"",E956*IFERROR(VLOOKUP(F956,Perfil!$B$19:$C$24,2,0),1))</f>
        <v/>
      </c>
      <c r="H956" s="23" t="str">
        <f aca="false">IF(G956="","",G956/100*INDEX(Alimentos!$E$5:$E$40,MATCH($D956,Alimentos!$B$5:$B$40,0)))</f>
        <v/>
      </c>
      <c r="I956" s="23" t="str">
        <f aca="false">IF(G956="","",G956/100*INDEX(Alimentos!$F$5:$F$40,MATCH($D956,Alimentos!$B$5:$B$40,0)))</f>
        <v/>
      </c>
      <c r="J956" s="23" t="str">
        <f aca="false">IF(G956="","",G956/100*INDEX(Alimentos!$G$5:$G$40,MATCH($D956,Alimentos!$B$5:$B$40,0)))</f>
        <v/>
      </c>
      <c r="K956" s="23" t="str">
        <f aca="false">IF(G956="","",G956/100*INDEX(Alimentos!$H$5:$H$40,MATCH($D956,Alimentos!$B$5:$B$40,0)))</f>
        <v/>
      </c>
      <c r="L956" s="24" t="str">
        <f aca="false">IF(OR(A956="",B956=""),"",Perfil!$C$13+(A956-1)*7+MATCH(B956,{"Lunes","Martes","Miércoles","Jueves","Viernes","Sábado","Domingo"},0)-1)</f>
        <v/>
      </c>
    </row>
    <row r="957" customFormat="false" ht="15" hidden="false" customHeight="false" outlineLevel="0" collapsed="false">
      <c r="G957" s="23" t="str">
        <f aca="false">IF(OR(D957="",E957=""),"",E957*IFERROR(VLOOKUP(F957,Perfil!$B$19:$C$24,2,0),1))</f>
        <v/>
      </c>
      <c r="H957" s="23" t="str">
        <f aca="false">IF(G957="","",G957/100*INDEX(Alimentos!$E$5:$E$40,MATCH($D957,Alimentos!$B$5:$B$40,0)))</f>
        <v/>
      </c>
      <c r="I957" s="23" t="str">
        <f aca="false">IF(G957="","",G957/100*INDEX(Alimentos!$F$5:$F$40,MATCH($D957,Alimentos!$B$5:$B$40,0)))</f>
        <v/>
      </c>
      <c r="J957" s="23" t="str">
        <f aca="false">IF(G957="","",G957/100*INDEX(Alimentos!$G$5:$G$40,MATCH($D957,Alimentos!$B$5:$B$40,0)))</f>
        <v/>
      </c>
      <c r="K957" s="23" t="str">
        <f aca="false">IF(G957="","",G957/100*INDEX(Alimentos!$H$5:$H$40,MATCH($D957,Alimentos!$B$5:$B$40,0)))</f>
        <v/>
      </c>
      <c r="L957" s="24" t="str">
        <f aca="false">IF(OR(A957="",B957=""),"",Perfil!$C$13+(A957-1)*7+MATCH(B957,{"Lunes","Martes","Miércoles","Jueves","Viernes","Sábado","Domingo"},0)-1)</f>
        <v/>
      </c>
    </row>
    <row r="958" customFormat="false" ht="15" hidden="false" customHeight="false" outlineLevel="0" collapsed="false">
      <c r="G958" s="23" t="str">
        <f aca="false">IF(OR(D958="",E958=""),"",E958*IFERROR(VLOOKUP(F958,Perfil!$B$19:$C$24,2,0),1))</f>
        <v/>
      </c>
      <c r="H958" s="23" t="str">
        <f aca="false">IF(G958="","",G958/100*INDEX(Alimentos!$E$5:$E$40,MATCH($D958,Alimentos!$B$5:$B$40,0)))</f>
        <v/>
      </c>
      <c r="I958" s="23" t="str">
        <f aca="false">IF(G958="","",G958/100*INDEX(Alimentos!$F$5:$F$40,MATCH($D958,Alimentos!$B$5:$B$40,0)))</f>
        <v/>
      </c>
      <c r="J958" s="23" t="str">
        <f aca="false">IF(G958="","",G958/100*INDEX(Alimentos!$G$5:$G$40,MATCH($D958,Alimentos!$B$5:$B$40,0)))</f>
        <v/>
      </c>
      <c r="K958" s="23" t="str">
        <f aca="false">IF(G958="","",G958/100*INDEX(Alimentos!$H$5:$H$40,MATCH($D958,Alimentos!$B$5:$B$40,0)))</f>
        <v/>
      </c>
      <c r="L958" s="24" t="str">
        <f aca="false">IF(OR(A958="",B958=""),"",Perfil!$C$13+(A958-1)*7+MATCH(B958,{"Lunes","Martes","Miércoles","Jueves","Viernes","Sábado","Domingo"},0)-1)</f>
        <v/>
      </c>
    </row>
    <row r="959" customFormat="false" ht="15" hidden="false" customHeight="false" outlineLevel="0" collapsed="false">
      <c r="G959" s="23" t="str">
        <f aca="false">IF(OR(D959="",E959=""),"",E959*IFERROR(VLOOKUP(F959,Perfil!$B$19:$C$24,2,0),1))</f>
        <v/>
      </c>
      <c r="H959" s="23" t="str">
        <f aca="false">IF(G959="","",G959/100*INDEX(Alimentos!$E$5:$E$40,MATCH($D959,Alimentos!$B$5:$B$40,0)))</f>
        <v/>
      </c>
      <c r="I959" s="23" t="str">
        <f aca="false">IF(G959="","",G959/100*INDEX(Alimentos!$F$5:$F$40,MATCH($D959,Alimentos!$B$5:$B$40,0)))</f>
        <v/>
      </c>
      <c r="J959" s="23" t="str">
        <f aca="false">IF(G959="","",G959/100*INDEX(Alimentos!$G$5:$G$40,MATCH($D959,Alimentos!$B$5:$B$40,0)))</f>
        <v/>
      </c>
      <c r="K959" s="23" t="str">
        <f aca="false">IF(G959="","",G959/100*INDEX(Alimentos!$H$5:$H$40,MATCH($D959,Alimentos!$B$5:$B$40,0)))</f>
        <v/>
      </c>
      <c r="L959" s="24" t="str">
        <f aca="false">IF(OR(A959="",B959=""),"",Perfil!$C$13+(A959-1)*7+MATCH(B959,{"Lunes","Martes","Miércoles","Jueves","Viernes","Sábado","Domingo"},0)-1)</f>
        <v/>
      </c>
    </row>
    <row r="960" customFormat="false" ht="15" hidden="false" customHeight="false" outlineLevel="0" collapsed="false">
      <c r="G960" s="23" t="str">
        <f aca="false">IF(OR(D960="",E960=""),"",E960*IFERROR(VLOOKUP(F960,Perfil!$B$19:$C$24,2,0),1))</f>
        <v/>
      </c>
      <c r="H960" s="23" t="str">
        <f aca="false">IF(G960="","",G960/100*INDEX(Alimentos!$E$5:$E$40,MATCH($D960,Alimentos!$B$5:$B$40,0)))</f>
        <v/>
      </c>
      <c r="I960" s="23" t="str">
        <f aca="false">IF(G960="","",G960/100*INDEX(Alimentos!$F$5:$F$40,MATCH($D960,Alimentos!$B$5:$B$40,0)))</f>
        <v/>
      </c>
      <c r="J960" s="23" t="str">
        <f aca="false">IF(G960="","",G960/100*INDEX(Alimentos!$G$5:$G$40,MATCH($D960,Alimentos!$B$5:$B$40,0)))</f>
        <v/>
      </c>
      <c r="K960" s="23" t="str">
        <f aca="false">IF(G960="","",G960/100*INDEX(Alimentos!$H$5:$H$40,MATCH($D960,Alimentos!$B$5:$B$40,0)))</f>
        <v/>
      </c>
      <c r="L960" s="24" t="str">
        <f aca="false">IF(OR(A960="",B960=""),"",Perfil!$C$13+(A960-1)*7+MATCH(B960,{"Lunes","Martes","Miércoles","Jueves","Viernes","Sábado","Domingo"},0)-1)</f>
        <v/>
      </c>
    </row>
    <row r="961" customFormat="false" ht="15" hidden="false" customHeight="false" outlineLevel="0" collapsed="false">
      <c r="G961" s="23" t="str">
        <f aca="false">IF(OR(D961="",E961=""),"",E961*IFERROR(VLOOKUP(F961,Perfil!$B$19:$C$24,2,0),1))</f>
        <v/>
      </c>
      <c r="H961" s="23" t="str">
        <f aca="false">IF(G961="","",G961/100*INDEX(Alimentos!$E$5:$E$40,MATCH($D961,Alimentos!$B$5:$B$40,0)))</f>
        <v/>
      </c>
      <c r="I961" s="23" t="str">
        <f aca="false">IF(G961="","",G961/100*INDEX(Alimentos!$F$5:$F$40,MATCH($D961,Alimentos!$B$5:$B$40,0)))</f>
        <v/>
      </c>
      <c r="J961" s="23" t="str">
        <f aca="false">IF(G961="","",G961/100*INDEX(Alimentos!$G$5:$G$40,MATCH($D961,Alimentos!$B$5:$B$40,0)))</f>
        <v/>
      </c>
      <c r="K961" s="23" t="str">
        <f aca="false">IF(G961="","",G961/100*INDEX(Alimentos!$H$5:$H$40,MATCH($D961,Alimentos!$B$5:$B$40,0)))</f>
        <v/>
      </c>
      <c r="L961" s="24" t="str">
        <f aca="false">IF(OR(A961="",B961=""),"",Perfil!$C$13+(A961-1)*7+MATCH(B961,{"Lunes","Martes","Miércoles","Jueves","Viernes","Sábado","Domingo"},0)-1)</f>
        <v/>
      </c>
    </row>
    <row r="962" customFormat="false" ht="15" hidden="false" customHeight="false" outlineLevel="0" collapsed="false">
      <c r="G962" s="23" t="str">
        <f aca="false">IF(OR(D962="",E962=""),"",E962*IFERROR(VLOOKUP(F962,Perfil!$B$19:$C$24,2,0),1))</f>
        <v/>
      </c>
      <c r="H962" s="23" t="str">
        <f aca="false">IF(G962="","",G962/100*INDEX(Alimentos!$E$5:$E$40,MATCH($D962,Alimentos!$B$5:$B$40,0)))</f>
        <v/>
      </c>
      <c r="I962" s="23" t="str">
        <f aca="false">IF(G962="","",G962/100*INDEX(Alimentos!$F$5:$F$40,MATCH($D962,Alimentos!$B$5:$B$40,0)))</f>
        <v/>
      </c>
      <c r="J962" s="23" t="str">
        <f aca="false">IF(G962="","",G962/100*INDEX(Alimentos!$G$5:$G$40,MATCH($D962,Alimentos!$B$5:$B$40,0)))</f>
        <v/>
      </c>
      <c r="K962" s="23" t="str">
        <f aca="false">IF(G962="","",G962/100*INDEX(Alimentos!$H$5:$H$40,MATCH($D962,Alimentos!$B$5:$B$40,0)))</f>
        <v/>
      </c>
      <c r="L962" s="24" t="str">
        <f aca="false">IF(OR(A962="",B962=""),"",Perfil!$C$13+(A962-1)*7+MATCH(B962,{"Lunes","Martes","Miércoles","Jueves","Viernes","Sábado","Domingo"},0)-1)</f>
        <v/>
      </c>
    </row>
    <row r="963" customFormat="false" ht="15" hidden="false" customHeight="false" outlineLevel="0" collapsed="false">
      <c r="G963" s="23" t="str">
        <f aca="false">IF(OR(D963="",E963=""),"",E963*IFERROR(VLOOKUP(F963,Perfil!$B$19:$C$24,2,0),1))</f>
        <v/>
      </c>
      <c r="H963" s="23" t="str">
        <f aca="false">IF(G963="","",G963/100*INDEX(Alimentos!$E$5:$E$40,MATCH($D963,Alimentos!$B$5:$B$40,0)))</f>
        <v/>
      </c>
      <c r="I963" s="23" t="str">
        <f aca="false">IF(G963="","",G963/100*INDEX(Alimentos!$F$5:$F$40,MATCH($D963,Alimentos!$B$5:$B$40,0)))</f>
        <v/>
      </c>
      <c r="J963" s="23" t="str">
        <f aca="false">IF(G963="","",G963/100*INDEX(Alimentos!$G$5:$G$40,MATCH($D963,Alimentos!$B$5:$B$40,0)))</f>
        <v/>
      </c>
      <c r="K963" s="23" t="str">
        <f aca="false">IF(G963="","",G963/100*INDEX(Alimentos!$H$5:$H$40,MATCH($D963,Alimentos!$B$5:$B$40,0)))</f>
        <v/>
      </c>
      <c r="L963" s="24" t="str">
        <f aca="false">IF(OR(A963="",B963=""),"",Perfil!$C$13+(A963-1)*7+MATCH(B963,{"Lunes","Martes","Miércoles","Jueves","Viernes","Sábado","Domingo"},0)-1)</f>
        <v/>
      </c>
    </row>
    <row r="964" customFormat="false" ht="15" hidden="false" customHeight="false" outlineLevel="0" collapsed="false">
      <c r="G964" s="23" t="str">
        <f aca="false">IF(OR(D964="",E964=""),"",E964*IFERROR(VLOOKUP(F964,Perfil!$B$19:$C$24,2,0),1))</f>
        <v/>
      </c>
      <c r="H964" s="23" t="str">
        <f aca="false">IF(G964="","",G964/100*INDEX(Alimentos!$E$5:$E$40,MATCH($D964,Alimentos!$B$5:$B$40,0)))</f>
        <v/>
      </c>
      <c r="I964" s="23" t="str">
        <f aca="false">IF(G964="","",G964/100*INDEX(Alimentos!$F$5:$F$40,MATCH($D964,Alimentos!$B$5:$B$40,0)))</f>
        <v/>
      </c>
      <c r="J964" s="23" t="str">
        <f aca="false">IF(G964="","",G964/100*INDEX(Alimentos!$G$5:$G$40,MATCH($D964,Alimentos!$B$5:$B$40,0)))</f>
        <v/>
      </c>
      <c r="K964" s="23" t="str">
        <f aca="false">IF(G964="","",G964/100*INDEX(Alimentos!$H$5:$H$40,MATCH($D964,Alimentos!$B$5:$B$40,0)))</f>
        <v/>
      </c>
      <c r="L964" s="24" t="str">
        <f aca="false">IF(OR(A964="",B964=""),"",Perfil!$C$13+(A964-1)*7+MATCH(B964,{"Lunes","Martes","Miércoles","Jueves","Viernes","Sábado","Domingo"},0)-1)</f>
        <v/>
      </c>
    </row>
    <row r="965" customFormat="false" ht="15" hidden="false" customHeight="false" outlineLevel="0" collapsed="false">
      <c r="G965" s="23" t="str">
        <f aca="false">IF(OR(D965="",E965=""),"",E965*IFERROR(VLOOKUP(F965,Perfil!$B$19:$C$24,2,0),1))</f>
        <v/>
      </c>
      <c r="H965" s="23" t="str">
        <f aca="false">IF(G965="","",G965/100*INDEX(Alimentos!$E$5:$E$40,MATCH($D965,Alimentos!$B$5:$B$40,0)))</f>
        <v/>
      </c>
      <c r="I965" s="23" t="str">
        <f aca="false">IF(G965="","",G965/100*INDEX(Alimentos!$F$5:$F$40,MATCH($D965,Alimentos!$B$5:$B$40,0)))</f>
        <v/>
      </c>
      <c r="J965" s="23" t="str">
        <f aca="false">IF(G965="","",G965/100*INDEX(Alimentos!$G$5:$G$40,MATCH($D965,Alimentos!$B$5:$B$40,0)))</f>
        <v/>
      </c>
      <c r="K965" s="23" t="str">
        <f aca="false">IF(G965="","",G965/100*INDEX(Alimentos!$H$5:$H$40,MATCH($D965,Alimentos!$B$5:$B$40,0)))</f>
        <v/>
      </c>
      <c r="L965" s="24" t="str">
        <f aca="false">IF(OR(A965="",B965=""),"",Perfil!$C$13+(A965-1)*7+MATCH(B965,{"Lunes","Martes","Miércoles","Jueves","Viernes","Sábado","Domingo"},0)-1)</f>
        <v/>
      </c>
    </row>
    <row r="966" customFormat="false" ht="15" hidden="false" customHeight="false" outlineLevel="0" collapsed="false">
      <c r="G966" s="23" t="str">
        <f aca="false">IF(OR(D966="",E966=""),"",E966*IFERROR(VLOOKUP(F966,Perfil!$B$19:$C$24,2,0),1))</f>
        <v/>
      </c>
      <c r="H966" s="23" t="str">
        <f aca="false">IF(G966="","",G966/100*INDEX(Alimentos!$E$5:$E$40,MATCH($D966,Alimentos!$B$5:$B$40,0)))</f>
        <v/>
      </c>
      <c r="I966" s="23" t="str">
        <f aca="false">IF(G966="","",G966/100*INDEX(Alimentos!$F$5:$F$40,MATCH($D966,Alimentos!$B$5:$B$40,0)))</f>
        <v/>
      </c>
      <c r="J966" s="23" t="str">
        <f aca="false">IF(G966="","",G966/100*INDEX(Alimentos!$G$5:$G$40,MATCH($D966,Alimentos!$B$5:$B$40,0)))</f>
        <v/>
      </c>
      <c r="K966" s="23" t="str">
        <f aca="false">IF(G966="","",G966/100*INDEX(Alimentos!$H$5:$H$40,MATCH($D966,Alimentos!$B$5:$B$40,0)))</f>
        <v/>
      </c>
      <c r="L966" s="24" t="str">
        <f aca="false">IF(OR(A966="",B966=""),"",Perfil!$C$13+(A966-1)*7+MATCH(B966,{"Lunes","Martes","Miércoles","Jueves","Viernes","Sábado","Domingo"},0)-1)</f>
        <v/>
      </c>
    </row>
    <row r="967" customFormat="false" ht="15" hidden="false" customHeight="false" outlineLevel="0" collapsed="false">
      <c r="G967" s="23" t="str">
        <f aca="false">IF(OR(D967="",E967=""),"",E967*IFERROR(VLOOKUP(F967,Perfil!$B$19:$C$24,2,0),1))</f>
        <v/>
      </c>
      <c r="H967" s="23" t="str">
        <f aca="false">IF(G967="","",G967/100*INDEX(Alimentos!$E$5:$E$40,MATCH($D967,Alimentos!$B$5:$B$40,0)))</f>
        <v/>
      </c>
      <c r="I967" s="23" t="str">
        <f aca="false">IF(G967="","",G967/100*INDEX(Alimentos!$F$5:$F$40,MATCH($D967,Alimentos!$B$5:$B$40,0)))</f>
        <v/>
      </c>
      <c r="J967" s="23" t="str">
        <f aca="false">IF(G967="","",G967/100*INDEX(Alimentos!$G$5:$G$40,MATCH($D967,Alimentos!$B$5:$B$40,0)))</f>
        <v/>
      </c>
      <c r="K967" s="23" t="str">
        <f aca="false">IF(G967="","",G967/100*INDEX(Alimentos!$H$5:$H$40,MATCH($D967,Alimentos!$B$5:$B$40,0)))</f>
        <v/>
      </c>
      <c r="L967" s="24" t="str">
        <f aca="false">IF(OR(A967="",B967=""),"",Perfil!$C$13+(A967-1)*7+MATCH(B967,{"Lunes","Martes","Miércoles","Jueves","Viernes","Sábado","Domingo"},0)-1)</f>
        <v/>
      </c>
    </row>
    <row r="968" customFormat="false" ht="15" hidden="false" customHeight="false" outlineLevel="0" collapsed="false">
      <c r="G968" s="23" t="str">
        <f aca="false">IF(OR(D968="",E968=""),"",E968*IFERROR(VLOOKUP(F968,Perfil!$B$19:$C$24,2,0),1))</f>
        <v/>
      </c>
      <c r="H968" s="23" t="str">
        <f aca="false">IF(G968="","",G968/100*INDEX(Alimentos!$E$5:$E$40,MATCH($D968,Alimentos!$B$5:$B$40,0)))</f>
        <v/>
      </c>
      <c r="I968" s="23" t="str">
        <f aca="false">IF(G968="","",G968/100*INDEX(Alimentos!$F$5:$F$40,MATCH($D968,Alimentos!$B$5:$B$40,0)))</f>
        <v/>
      </c>
      <c r="J968" s="23" t="str">
        <f aca="false">IF(G968="","",G968/100*INDEX(Alimentos!$G$5:$G$40,MATCH($D968,Alimentos!$B$5:$B$40,0)))</f>
        <v/>
      </c>
      <c r="K968" s="23" t="str">
        <f aca="false">IF(G968="","",G968/100*INDEX(Alimentos!$H$5:$H$40,MATCH($D968,Alimentos!$B$5:$B$40,0)))</f>
        <v/>
      </c>
      <c r="L968" s="24" t="str">
        <f aca="false">IF(OR(A968="",B968=""),"",Perfil!$C$13+(A968-1)*7+MATCH(B968,{"Lunes","Martes","Miércoles","Jueves","Viernes","Sábado","Domingo"},0)-1)</f>
        <v/>
      </c>
    </row>
    <row r="969" customFormat="false" ht="15" hidden="false" customHeight="false" outlineLevel="0" collapsed="false">
      <c r="G969" s="23" t="str">
        <f aca="false">IF(OR(D969="",E969=""),"",E969*IFERROR(VLOOKUP(F969,Perfil!$B$19:$C$24,2,0),1))</f>
        <v/>
      </c>
      <c r="H969" s="23" t="str">
        <f aca="false">IF(G969="","",G969/100*INDEX(Alimentos!$E$5:$E$40,MATCH($D969,Alimentos!$B$5:$B$40,0)))</f>
        <v/>
      </c>
      <c r="I969" s="23" t="str">
        <f aca="false">IF(G969="","",G969/100*INDEX(Alimentos!$F$5:$F$40,MATCH($D969,Alimentos!$B$5:$B$40,0)))</f>
        <v/>
      </c>
      <c r="J969" s="23" t="str">
        <f aca="false">IF(G969="","",G969/100*INDEX(Alimentos!$G$5:$G$40,MATCH($D969,Alimentos!$B$5:$B$40,0)))</f>
        <v/>
      </c>
      <c r="K969" s="23" t="str">
        <f aca="false">IF(G969="","",G969/100*INDEX(Alimentos!$H$5:$H$40,MATCH($D969,Alimentos!$B$5:$B$40,0)))</f>
        <v/>
      </c>
      <c r="L969" s="24" t="str">
        <f aca="false">IF(OR(A969="",B969=""),"",Perfil!$C$13+(A969-1)*7+MATCH(B969,{"Lunes","Martes","Miércoles","Jueves","Viernes","Sábado","Domingo"},0)-1)</f>
        <v/>
      </c>
    </row>
    <row r="970" customFormat="false" ht="15" hidden="false" customHeight="false" outlineLevel="0" collapsed="false">
      <c r="G970" s="23" t="str">
        <f aca="false">IF(OR(D970="",E970=""),"",E970*IFERROR(VLOOKUP(F970,Perfil!$B$19:$C$24,2,0),1))</f>
        <v/>
      </c>
      <c r="H970" s="23" t="str">
        <f aca="false">IF(G970="","",G970/100*INDEX(Alimentos!$E$5:$E$40,MATCH($D970,Alimentos!$B$5:$B$40,0)))</f>
        <v/>
      </c>
      <c r="I970" s="23" t="str">
        <f aca="false">IF(G970="","",G970/100*INDEX(Alimentos!$F$5:$F$40,MATCH($D970,Alimentos!$B$5:$B$40,0)))</f>
        <v/>
      </c>
      <c r="J970" s="23" t="str">
        <f aca="false">IF(G970="","",G970/100*INDEX(Alimentos!$G$5:$G$40,MATCH($D970,Alimentos!$B$5:$B$40,0)))</f>
        <v/>
      </c>
      <c r="K970" s="23" t="str">
        <f aca="false">IF(G970="","",G970/100*INDEX(Alimentos!$H$5:$H$40,MATCH($D970,Alimentos!$B$5:$B$40,0)))</f>
        <v/>
      </c>
      <c r="L970" s="24" t="str">
        <f aca="false">IF(OR(A970="",B970=""),"",Perfil!$C$13+(A970-1)*7+MATCH(B970,{"Lunes","Martes","Miércoles","Jueves","Viernes","Sábado","Domingo"},0)-1)</f>
        <v/>
      </c>
    </row>
    <row r="971" customFormat="false" ht="15" hidden="false" customHeight="false" outlineLevel="0" collapsed="false">
      <c r="G971" s="23" t="str">
        <f aca="false">IF(OR(D971="",E971=""),"",E971*IFERROR(VLOOKUP(F971,Perfil!$B$19:$C$24,2,0),1))</f>
        <v/>
      </c>
      <c r="H971" s="23" t="str">
        <f aca="false">IF(G971="","",G971/100*INDEX(Alimentos!$E$5:$E$40,MATCH($D971,Alimentos!$B$5:$B$40,0)))</f>
        <v/>
      </c>
      <c r="I971" s="23" t="str">
        <f aca="false">IF(G971="","",G971/100*INDEX(Alimentos!$F$5:$F$40,MATCH($D971,Alimentos!$B$5:$B$40,0)))</f>
        <v/>
      </c>
      <c r="J971" s="23" t="str">
        <f aca="false">IF(G971="","",G971/100*INDEX(Alimentos!$G$5:$G$40,MATCH($D971,Alimentos!$B$5:$B$40,0)))</f>
        <v/>
      </c>
      <c r="K971" s="23" t="str">
        <f aca="false">IF(G971="","",G971/100*INDEX(Alimentos!$H$5:$H$40,MATCH($D971,Alimentos!$B$5:$B$40,0)))</f>
        <v/>
      </c>
      <c r="L971" s="24" t="str">
        <f aca="false">IF(OR(A971="",B971=""),"",Perfil!$C$13+(A971-1)*7+MATCH(B971,{"Lunes","Martes","Miércoles","Jueves","Viernes","Sábado","Domingo"},0)-1)</f>
        <v/>
      </c>
    </row>
    <row r="972" customFormat="false" ht="15" hidden="false" customHeight="false" outlineLevel="0" collapsed="false">
      <c r="G972" s="23" t="str">
        <f aca="false">IF(OR(D972="",E972=""),"",E972*IFERROR(VLOOKUP(F972,Perfil!$B$19:$C$24,2,0),1))</f>
        <v/>
      </c>
      <c r="H972" s="23" t="str">
        <f aca="false">IF(G972="","",G972/100*INDEX(Alimentos!$E$5:$E$40,MATCH($D972,Alimentos!$B$5:$B$40,0)))</f>
        <v/>
      </c>
      <c r="I972" s="23" t="str">
        <f aca="false">IF(G972="","",G972/100*INDEX(Alimentos!$F$5:$F$40,MATCH($D972,Alimentos!$B$5:$B$40,0)))</f>
        <v/>
      </c>
      <c r="J972" s="23" t="str">
        <f aca="false">IF(G972="","",G972/100*INDEX(Alimentos!$G$5:$G$40,MATCH($D972,Alimentos!$B$5:$B$40,0)))</f>
        <v/>
      </c>
      <c r="K972" s="23" t="str">
        <f aca="false">IF(G972="","",G972/100*INDEX(Alimentos!$H$5:$H$40,MATCH($D972,Alimentos!$B$5:$B$40,0)))</f>
        <v/>
      </c>
      <c r="L972" s="24" t="str">
        <f aca="false">IF(OR(A972="",B972=""),"",Perfil!$C$13+(A972-1)*7+MATCH(B972,{"Lunes","Martes","Miércoles","Jueves","Viernes","Sábado","Domingo"},0)-1)</f>
        <v/>
      </c>
    </row>
    <row r="973" customFormat="false" ht="15" hidden="false" customHeight="false" outlineLevel="0" collapsed="false">
      <c r="G973" s="23" t="str">
        <f aca="false">IF(OR(D973="",E973=""),"",E973*IFERROR(VLOOKUP(F973,Perfil!$B$19:$C$24,2,0),1))</f>
        <v/>
      </c>
      <c r="H973" s="23" t="str">
        <f aca="false">IF(G973="","",G973/100*INDEX(Alimentos!$E$5:$E$40,MATCH($D973,Alimentos!$B$5:$B$40,0)))</f>
        <v/>
      </c>
      <c r="I973" s="23" t="str">
        <f aca="false">IF(G973="","",G973/100*INDEX(Alimentos!$F$5:$F$40,MATCH($D973,Alimentos!$B$5:$B$40,0)))</f>
        <v/>
      </c>
      <c r="J973" s="23" t="str">
        <f aca="false">IF(G973="","",G973/100*INDEX(Alimentos!$G$5:$G$40,MATCH($D973,Alimentos!$B$5:$B$40,0)))</f>
        <v/>
      </c>
      <c r="K973" s="23" t="str">
        <f aca="false">IF(G973="","",G973/100*INDEX(Alimentos!$H$5:$H$40,MATCH($D973,Alimentos!$B$5:$B$40,0)))</f>
        <v/>
      </c>
      <c r="L973" s="24" t="str">
        <f aca="false">IF(OR(A973="",B973=""),"",Perfil!$C$13+(A973-1)*7+MATCH(B973,{"Lunes","Martes","Miércoles","Jueves","Viernes","Sábado","Domingo"},0)-1)</f>
        <v/>
      </c>
    </row>
    <row r="974" customFormat="false" ht="15" hidden="false" customHeight="false" outlineLevel="0" collapsed="false">
      <c r="G974" s="23" t="str">
        <f aca="false">IF(OR(D974="",E974=""),"",E974*IFERROR(VLOOKUP(F974,Perfil!$B$19:$C$24,2,0),1))</f>
        <v/>
      </c>
      <c r="H974" s="23" t="str">
        <f aca="false">IF(G974="","",G974/100*INDEX(Alimentos!$E$5:$E$40,MATCH($D974,Alimentos!$B$5:$B$40,0)))</f>
        <v/>
      </c>
      <c r="I974" s="23" t="str">
        <f aca="false">IF(G974="","",G974/100*INDEX(Alimentos!$F$5:$F$40,MATCH($D974,Alimentos!$B$5:$B$40,0)))</f>
        <v/>
      </c>
      <c r="J974" s="23" t="str">
        <f aca="false">IF(G974="","",G974/100*INDEX(Alimentos!$G$5:$G$40,MATCH($D974,Alimentos!$B$5:$B$40,0)))</f>
        <v/>
      </c>
      <c r="K974" s="23" t="str">
        <f aca="false">IF(G974="","",G974/100*INDEX(Alimentos!$H$5:$H$40,MATCH($D974,Alimentos!$B$5:$B$40,0)))</f>
        <v/>
      </c>
      <c r="L974" s="24" t="str">
        <f aca="false">IF(OR(A974="",B974=""),"",Perfil!$C$13+(A974-1)*7+MATCH(B974,{"Lunes","Martes","Miércoles","Jueves","Viernes","Sábado","Domingo"},0)-1)</f>
        <v/>
      </c>
    </row>
    <row r="975" customFormat="false" ht="15" hidden="false" customHeight="false" outlineLevel="0" collapsed="false">
      <c r="G975" s="23" t="str">
        <f aca="false">IF(OR(D975="",E975=""),"",E975*IFERROR(VLOOKUP(F975,Perfil!$B$19:$C$24,2,0),1))</f>
        <v/>
      </c>
      <c r="H975" s="23" t="str">
        <f aca="false">IF(G975="","",G975/100*INDEX(Alimentos!$E$5:$E$40,MATCH($D975,Alimentos!$B$5:$B$40,0)))</f>
        <v/>
      </c>
      <c r="I975" s="23" t="str">
        <f aca="false">IF(G975="","",G975/100*INDEX(Alimentos!$F$5:$F$40,MATCH($D975,Alimentos!$B$5:$B$40,0)))</f>
        <v/>
      </c>
      <c r="J975" s="23" t="str">
        <f aca="false">IF(G975="","",G975/100*INDEX(Alimentos!$G$5:$G$40,MATCH($D975,Alimentos!$B$5:$B$40,0)))</f>
        <v/>
      </c>
      <c r="K975" s="23" t="str">
        <f aca="false">IF(G975="","",G975/100*INDEX(Alimentos!$H$5:$H$40,MATCH($D975,Alimentos!$B$5:$B$40,0)))</f>
        <v/>
      </c>
      <c r="L975" s="24" t="str">
        <f aca="false">IF(OR(A975="",B975=""),"",Perfil!$C$13+(A975-1)*7+MATCH(B975,{"Lunes","Martes","Miércoles","Jueves","Viernes","Sábado","Domingo"},0)-1)</f>
        <v/>
      </c>
    </row>
    <row r="976" customFormat="false" ht="15" hidden="false" customHeight="false" outlineLevel="0" collapsed="false">
      <c r="G976" s="23" t="str">
        <f aca="false">IF(OR(D976="",E976=""),"",E976*IFERROR(VLOOKUP(F976,Perfil!$B$19:$C$24,2,0),1))</f>
        <v/>
      </c>
      <c r="H976" s="23" t="str">
        <f aca="false">IF(G976="","",G976/100*INDEX(Alimentos!$E$5:$E$40,MATCH($D976,Alimentos!$B$5:$B$40,0)))</f>
        <v/>
      </c>
      <c r="I976" s="23" t="str">
        <f aca="false">IF(G976="","",G976/100*INDEX(Alimentos!$F$5:$F$40,MATCH($D976,Alimentos!$B$5:$B$40,0)))</f>
        <v/>
      </c>
      <c r="J976" s="23" t="str">
        <f aca="false">IF(G976="","",G976/100*INDEX(Alimentos!$G$5:$G$40,MATCH($D976,Alimentos!$B$5:$B$40,0)))</f>
        <v/>
      </c>
      <c r="K976" s="23" t="str">
        <f aca="false">IF(G976="","",G976/100*INDEX(Alimentos!$H$5:$H$40,MATCH($D976,Alimentos!$B$5:$B$40,0)))</f>
        <v/>
      </c>
      <c r="L976" s="24" t="str">
        <f aca="false">IF(OR(A976="",B976=""),"",Perfil!$C$13+(A976-1)*7+MATCH(B976,{"Lunes","Martes","Miércoles","Jueves","Viernes","Sábado","Domingo"},0)-1)</f>
        <v/>
      </c>
    </row>
    <row r="977" customFormat="false" ht="15" hidden="false" customHeight="false" outlineLevel="0" collapsed="false">
      <c r="G977" s="23" t="str">
        <f aca="false">IF(OR(D977="",E977=""),"",E977*IFERROR(VLOOKUP(F977,Perfil!$B$19:$C$24,2,0),1))</f>
        <v/>
      </c>
      <c r="H977" s="23" t="str">
        <f aca="false">IF(G977="","",G977/100*INDEX(Alimentos!$E$5:$E$40,MATCH($D977,Alimentos!$B$5:$B$40,0)))</f>
        <v/>
      </c>
      <c r="I977" s="23" t="str">
        <f aca="false">IF(G977="","",G977/100*INDEX(Alimentos!$F$5:$F$40,MATCH($D977,Alimentos!$B$5:$B$40,0)))</f>
        <v/>
      </c>
      <c r="J977" s="23" t="str">
        <f aca="false">IF(G977="","",G977/100*INDEX(Alimentos!$G$5:$G$40,MATCH($D977,Alimentos!$B$5:$B$40,0)))</f>
        <v/>
      </c>
      <c r="K977" s="23" t="str">
        <f aca="false">IF(G977="","",G977/100*INDEX(Alimentos!$H$5:$H$40,MATCH($D977,Alimentos!$B$5:$B$40,0)))</f>
        <v/>
      </c>
      <c r="L977" s="24" t="str">
        <f aca="false">IF(OR(A977="",B977=""),"",Perfil!$C$13+(A977-1)*7+MATCH(B977,{"Lunes","Martes","Miércoles","Jueves","Viernes","Sábado","Domingo"},0)-1)</f>
        <v/>
      </c>
    </row>
    <row r="978" customFormat="false" ht="15" hidden="false" customHeight="false" outlineLevel="0" collapsed="false">
      <c r="G978" s="23" t="str">
        <f aca="false">IF(OR(D978="",E978=""),"",E978*IFERROR(VLOOKUP(F978,Perfil!$B$19:$C$24,2,0),1))</f>
        <v/>
      </c>
      <c r="H978" s="23" t="str">
        <f aca="false">IF(G978="","",G978/100*INDEX(Alimentos!$E$5:$E$40,MATCH($D978,Alimentos!$B$5:$B$40,0)))</f>
        <v/>
      </c>
      <c r="I978" s="23" t="str">
        <f aca="false">IF(G978="","",G978/100*INDEX(Alimentos!$F$5:$F$40,MATCH($D978,Alimentos!$B$5:$B$40,0)))</f>
        <v/>
      </c>
      <c r="J978" s="23" t="str">
        <f aca="false">IF(G978="","",G978/100*INDEX(Alimentos!$G$5:$G$40,MATCH($D978,Alimentos!$B$5:$B$40,0)))</f>
        <v/>
      </c>
      <c r="K978" s="23" t="str">
        <f aca="false">IF(G978="","",G978/100*INDEX(Alimentos!$H$5:$H$40,MATCH($D978,Alimentos!$B$5:$B$40,0)))</f>
        <v/>
      </c>
      <c r="L978" s="24" t="str">
        <f aca="false">IF(OR(A978="",B978=""),"",Perfil!$C$13+(A978-1)*7+MATCH(B978,{"Lunes","Martes","Miércoles","Jueves","Viernes","Sábado","Domingo"},0)-1)</f>
        <v/>
      </c>
    </row>
    <row r="979" customFormat="false" ht="15" hidden="false" customHeight="false" outlineLevel="0" collapsed="false">
      <c r="G979" s="23" t="str">
        <f aca="false">IF(OR(D979="",E979=""),"",E979*IFERROR(VLOOKUP(F979,Perfil!$B$19:$C$24,2,0),1))</f>
        <v/>
      </c>
      <c r="H979" s="23" t="str">
        <f aca="false">IF(G979="","",G979/100*INDEX(Alimentos!$E$5:$E$40,MATCH($D979,Alimentos!$B$5:$B$40,0)))</f>
        <v/>
      </c>
      <c r="I979" s="23" t="str">
        <f aca="false">IF(G979="","",G979/100*INDEX(Alimentos!$F$5:$F$40,MATCH($D979,Alimentos!$B$5:$B$40,0)))</f>
        <v/>
      </c>
      <c r="J979" s="23" t="str">
        <f aca="false">IF(G979="","",G979/100*INDEX(Alimentos!$G$5:$G$40,MATCH($D979,Alimentos!$B$5:$B$40,0)))</f>
        <v/>
      </c>
      <c r="K979" s="23" t="str">
        <f aca="false">IF(G979="","",G979/100*INDEX(Alimentos!$H$5:$H$40,MATCH($D979,Alimentos!$B$5:$B$40,0)))</f>
        <v/>
      </c>
      <c r="L979" s="24" t="str">
        <f aca="false">IF(OR(A979="",B979=""),"",Perfil!$C$13+(A979-1)*7+MATCH(B979,{"Lunes","Martes","Miércoles","Jueves","Viernes","Sábado","Domingo"},0)-1)</f>
        <v/>
      </c>
    </row>
    <row r="980" customFormat="false" ht="15" hidden="false" customHeight="false" outlineLevel="0" collapsed="false">
      <c r="G980" s="23" t="str">
        <f aca="false">IF(OR(D980="",E980=""),"",E980*IFERROR(VLOOKUP(F980,Perfil!$B$19:$C$24,2,0),1))</f>
        <v/>
      </c>
      <c r="H980" s="23" t="str">
        <f aca="false">IF(G980="","",G980/100*INDEX(Alimentos!$E$5:$E$40,MATCH($D980,Alimentos!$B$5:$B$40,0)))</f>
        <v/>
      </c>
      <c r="I980" s="23" t="str">
        <f aca="false">IF(G980="","",G980/100*INDEX(Alimentos!$F$5:$F$40,MATCH($D980,Alimentos!$B$5:$B$40,0)))</f>
        <v/>
      </c>
      <c r="J980" s="23" t="str">
        <f aca="false">IF(G980="","",G980/100*INDEX(Alimentos!$G$5:$G$40,MATCH($D980,Alimentos!$B$5:$B$40,0)))</f>
        <v/>
      </c>
      <c r="K980" s="23" t="str">
        <f aca="false">IF(G980="","",G980/100*INDEX(Alimentos!$H$5:$H$40,MATCH($D980,Alimentos!$B$5:$B$40,0)))</f>
        <v/>
      </c>
      <c r="L980" s="24" t="str">
        <f aca="false">IF(OR(A980="",B980=""),"",Perfil!$C$13+(A980-1)*7+MATCH(B980,{"Lunes","Martes","Miércoles","Jueves","Viernes","Sábado","Domingo"},0)-1)</f>
        <v/>
      </c>
    </row>
    <row r="981" customFormat="false" ht="15" hidden="false" customHeight="false" outlineLevel="0" collapsed="false">
      <c r="G981" s="23" t="str">
        <f aca="false">IF(OR(D981="",E981=""),"",E981*IFERROR(VLOOKUP(F981,Perfil!$B$19:$C$24,2,0),1))</f>
        <v/>
      </c>
      <c r="H981" s="23" t="str">
        <f aca="false">IF(G981="","",G981/100*INDEX(Alimentos!$E$5:$E$40,MATCH($D981,Alimentos!$B$5:$B$40,0)))</f>
        <v/>
      </c>
      <c r="I981" s="23" t="str">
        <f aca="false">IF(G981="","",G981/100*INDEX(Alimentos!$F$5:$F$40,MATCH($D981,Alimentos!$B$5:$B$40,0)))</f>
        <v/>
      </c>
      <c r="J981" s="23" t="str">
        <f aca="false">IF(G981="","",G981/100*INDEX(Alimentos!$G$5:$G$40,MATCH($D981,Alimentos!$B$5:$B$40,0)))</f>
        <v/>
      </c>
      <c r="K981" s="23" t="str">
        <f aca="false">IF(G981="","",G981/100*INDEX(Alimentos!$H$5:$H$40,MATCH($D981,Alimentos!$B$5:$B$40,0)))</f>
        <v/>
      </c>
      <c r="L981" s="24" t="str">
        <f aca="false">IF(OR(A981="",B981=""),"",Perfil!$C$13+(A981-1)*7+MATCH(B981,{"Lunes","Martes","Miércoles","Jueves","Viernes","Sábado","Domingo"},0)-1)</f>
        <v/>
      </c>
    </row>
    <row r="982" customFormat="false" ht="15" hidden="false" customHeight="false" outlineLevel="0" collapsed="false">
      <c r="G982" s="23" t="str">
        <f aca="false">IF(OR(D982="",E982=""),"",E982*IFERROR(VLOOKUP(F982,Perfil!$B$19:$C$24,2,0),1))</f>
        <v/>
      </c>
      <c r="H982" s="23" t="str">
        <f aca="false">IF(G982="","",G982/100*INDEX(Alimentos!$E$5:$E$40,MATCH($D982,Alimentos!$B$5:$B$40,0)))</f>
        <v/>
      </c>
      <c r="I982" s="23" t="str">
        <f aca="false">IF(G982="","",G982/100*INDEX(Alimentos!$F$5:$F$40,MATCH($D982,Alimentos!$B$5:$B$40,0)))</f>
        <v/>
      </c>
      <c r="J982" s="23" t="str">
        <f aca="false">IF(G982="","",G982/100*INDEX(Alimentos!$G$5:$G$40,MATCH($D982,Alimentos!$B$5:$B$40,0)))</f>
        <v/>
      </c>
      <c r="K982" s="23" t="str">
        <f aca="false">IF(G982="","",G982/100*INDEX(Alimentos!$H$5:$H$40,MATCH($D982,Alimentos!$B$5:$B$40,0)))</f>
        <v/>
      </c>
      <c r="L982" s="24" t="str">
        <f aca="false">IF(OR(A982="",B982=""),"",Perfil!$C$13+(A982-1)*7+MATCH(B982,{"Lunes","Martes","Miércoles","Jueves","Viernes","Sábado","Domingo"},0)-1)</f>
        <v/>
      </c>
    </row>
    <row r="983" customFormat="false" ht="15" hidden="false" customHeight="false" outlineLevel="0" collapsed="false">
      <c r="G983" s="23" t="str">
        <f aca="false">IF(OR(D983="",E983=""),"",E983*IFERROR(VLOOKUP(F983,Perfil!$B$19:$C$24,2,0),1))</f>
        <v/>
      </c>
      <c r="H983" s="23" t="str">
        <f aca="false">IF(G983="","",G983/100*INDEX(Alimentos!$E$5:$E$40,MATCH($D983,Alimentos!$B$5:$B$40,0)))</f>
        <v/>
      </c>
      <c r="I983" s="23" t="str">
        <f aca="false">IF(G983="","",G983/100*INDEX(Alimentos!$F$5:$F$40,MATCH($D983,Alimentos!$B$5:$B$40,0)))</f>
        <v/>
      </c>
      <c r="J983" s="23" t="str">
        <f aca="false">IF(G983="","",G983/100*INDEX(Alimentos!$G$5:$G$40,MATCH($D983,Alimentos!$B$5:$B$40,0)))</f>
        <v/>
      </c>
      <c r="K983" s="23" t="str">
        <f aca="false">IF(G983="","",G983/100*INDEX(Alimentos!$H$5:$H$40,MATCH($D983,Alimentos!$B$5:$B$40,0)))</f>
        <v/>
      </c>
      <c r="L983" s="24" t="str">
        <f aca="false">IF(OR(A983="",B983=""),"",Perfil!$C$13+(A983-1)*7+MATCH(B983,{"Lunes","Martes","Miércoles","Jueves","Viernes","Sábado","Domingo"},0)-1)</f>
        <v/>
      </c>
    </row>
    <row r="984" customFormat="false" ht="15" hidden="false" customHeight="false" outlineLevel="0" collapsed="false">
      <c r="G984" s="23" t="str">
        <f aca="false">IF(OR(D984="",E984=""),"",E984*IFERROR(VLOOKUP(F984,Perfil!$B$19:$C$24,2,0),1))</f>
        <v/>
      </c>
      <c r="H984" s="23" t="str">
        <f aca="false">IF(G984="","",G984/100*INDEX(Alimentos!$E$5:$E$40,MATCH($D984,Alimentos!$B$5:$B$40,0)))</f>
        <v/>
      </c>
      <c r="I984" s="23" t="str">
        <f aca="false">IF(G984="","",G984/100*INDEX(Alimentos!$F$5:$F$40,MATCH($D984,Alimentos!$B$5:$B$40,0)))</f>
        <v/>
      </c>
      <c r="J984" s="23" t="str">
        <f aca="false">IF(G984="","",G984/100*INDEX(Alimentos!$G$5:$G$40,MATCH($D984,Alimentos!$B$5:$B$40,0)))</f>
        <v/>
      </c>
      <c r="K984" s="23" t="str">
        <f aca="false">IF(G984="","",G984/100*INDEX(Alimentos!$H$5:$H$40,MATCH($D984,Alimentos!$B$5:$B$40,0)))</f>
        <v/>
      </c>
      <c r="L984" s="24" t="str">
        <f aca="false">IF(OR(A984="",B984=""),"",Perfil!$C$13+(A984-1)*7+MATCH(B984,{"Lunes","Martes","Miércoles","Jueves","Viernes","Sábado","Domingo"},0)-1)</f>
        <v/>
      </c>
    </row>
    <row r="985" customFormat="false" ht="15" hidden="false" customHeight="false" outlineLevel="0" collapsed="false">
      <c r="G985" s="23" t="str">
        <f aca="false">IF(OR(D985="",E985=""),"",E985*IFERROR(VLOOKUP(F985,Perfil!$B$19:$C$24,2,0),1))</f>
        <v/>
      </c>
      <c r="H985" s="23" t="str">
        <f aca="false">IF(G985="","",G985/100*INDEX(Alimentos!$E$5:$E$40,MATCH($D985,Alimentos!$B$5:$B$40,0)))</f>
        <v/>
      </c>
      <c r="I985" s="23" t="str">
        <f aca="false">IF(G985="","",G985/100*INDEX(Alimentos!$F$5:$F$40,MATCH($D985,Alimentos!$B$5:$B$40,0)))</f>
        <v/>
      </c>
      <c r="J985" s="23" t="str">
        <f aca="false">IF(G985="","",G985/100*INDEX(Alimentos!$G$5:$G$40,MATCH($D985,Alimentos!$B$5:$B$40,0)))</f>
        <v/>
      </c>
      <c r="K985" s="23" t="str">
        <f aca="false">IF(G985="","",G985/100*INDEX(Alimentos!$H$5:$H$40,MATCH($D985,Alimentos!$B$5:$B$40,0)))</f>
        <v/>
      </c>
      <c r="L985" s="24" t="str">
        <f aca="false">IF(OR(A985="",B985=""),"",Perfil!$C$13+(A985-1)*7+MATCH(B985,{"Lunes","Martes","Miércoles","Jueves","Viernes","Sábado","Domingo"},0)-1)</f>
        <v/>
      </c>
    </row>
    <row r="986" customFormat="false" ht="15" hidden="false" customHeight="false" outlineLevel="0" collapsed="false">
      <c r="G986" s="23" t="str">
        <f aca="false">IF(OR(D986="",E986=""),"",E986*IFERROR(VLOOKUP(F986,Perfil!$B$19:$C$24,2,0),1))</f>
        <v/>
      </c>
      <c r="H986" s="23" t="str">
        <f aca="false">IF(G986="","",G986/100*INDEX(Alimentos!$E$5:$E$40,MATCH($D986,Alimentos!$B$5:$B$40,0)))</f>
        <v/>
      </c>
      <c r="I986" s="23" t="str">
        <f aca="false">IF(G986="","",G986/100*INDEX(Alimentos!$F$5:$F$40,MATCH($D986,Alimentos!$B$5:$B$40,0)))</f>
        <v/>
      </c>
      <c r="J986" s="23" t="str">
        <f aca="false">IF(G986="","",G986/100*INDEX(Alimentos!$G$5:$G$40,MATCH($D986,Alimentos!$B$5:$B$40,0)))</f>
        <v/>
      </c>
      <c r="K986" s="23" t="str">
        <f aca="false">IF(G986="","",G986/100*INDEX(Alimentos!$H$5:$H$40,MATCH($D986,Alimentos!$B$5:$B$40,0)))</f>
        <v/>
      </c>
      <c r="L986" s="24" t="str">
        <f aca="false">IF(OR(A986="",B986=""),"",Perfil!$C$13+(A986-1)*7+MATCH(B986,{"Lunes","Martes","Miércoles","Jueves","Viernes","Sábado","Domingo"},0)-1)</f>
        <v/>
      </c>
    </row>
    <row r="987" customFormat="false" ht="15" hidden="false" customHeight="false" outlineLevel="0" collapsed="false">
      <c r="G987" s="23" t="str">
        <f aca="false">IF(OR(D987="",E987=""),"",E987*IFERROR(VLOOKUP(F987,Perfil!$B$19:$C$24,2,0),1))</f>
        <v/>
      </c>
      <c r="H987" s="23" t="str">
        <f aca="false">IF(G987="","",G987/100*INDEX(Alimentos!$E$5:$E$40,MATCH($D987,Alimentos!$B$5:$B$40,0)))</f>
        <v/>
      </c>
      <c r="I987" s="23" t="str">
        <f aca="false">IF(G987="","",G987/100*INDEX(Alimentos!$F$5:$F$40,MATCH($D987,Alimentos!$B$5:$B$40,0)))</f>
        <v/>
      </c>
      <c r="J987" s="23" t="str">
        <f aca="false">IF(G987="","",G987/100*INDEX(Alimentos!$G$5:$G$40,MATCH($D987,Alimentos!$B$5:$B$40,0)))</f>
        <v/>
      </c>
      <c r="K987" s="23" t="str">
        <f aca="false">IF(G987="","",G987/100*INDEX(Alimentos!$H$5:$H$40,MATCH($D987,Alimentos!$B$5:$B$40,0)))</f>
        <v/>
      </c>
      <c r="L987" s="24" t="str">
        <f aca="false">IF(OR(A987="",B987=""),"",Perfil!$C$13+(A987-1)*7+MATCH(B987,{"Lunes","Martes","Miércoles","Jueves","Viernes","Sábado","Domingo"},0)-1)</f>
        <v/>
      </c>
    </row>
    <row r="988" customFormat="false" ht="15" hidden="false" customHeight="false" outlineLevel="0" collapsed="false">
      <c r="G988" s="23" t="str">
        <f aca="false">IF(OR(D988="",E988=""),"",E988*IFERROR(VLOOKUP(F988,Perfil!$B$19:$C$24,2,0),1))</f>
        <v/>
      </c>
      <c r="H988" s="23" t="str">
        <f aca="false">IF(G988="","",G988/100*INDEX(Alimentos!$E$5:$E$40,MATCH($D988,Alimentos!$B$5:$B$40,0)))</f>
        <v/>
      </c>
      <c r="I988" s="23" t="str">
        <f aca="false">IF(G988="","",G988/100*INDEX(Alimentos!$F$5:$F$40,MATCH($D988,Alimentos!$B$5:$B$40,0)))</f>
        <v/>
      </c>
      <c r="J988" s="23" t="str">
        <f aca="false">IF(G988="","",G988/100*INDEX(Alimentos!$G$5:$G$40,MATCH($D988,Alimentos!$B$5:$B$40,0)))</f>
        <v/>
      </c>
      <c r="K988" s="23" t="str">
        <f aca="false">IF(G988="","",G988/100*INDEX(Alimentos!$H$5:$H$40,MATCH($D988,Alimentos!$B$5:$B$40,0)))</f>
        <v/>
      </c>
      <c r="L988" s="24" t="str">
        <f aca="false">IF(OR(A988="",B988=""),"",Perfil!$C$13+(A988-1)*7+MATCH(B988,{"Lunes","Martes","Miércoles","Jueves","Viernes","Sábado","Domingo"},0)-1)</f>
        <v/>
      </c>
    </row>
    <row r="989" customFormat="false" ht="15" hidden="false" customHeight="false" outlineLevel="0" collapsed="false">
      <c r="G989" s="23" t="str">
        <f aca="false">IF(OR(D989="",E989=""),"",E989*IFERROR(VLOOKUP(F989,Perfil!$B$19:$C$24,2,0),1))</f>
        <v/>
      </c>
      <c r="H989" s="23" t="str">
        <f aca="false">IF(G989="","",G989/100*INDEX(Alimentos!$E$5:$E$40,MATCH($D989,Alimentos!$B$5:$B$40,0)))</f>
        <v/>
      </c>
      <c r="I989" s="23" t="str">
        <f aca="false">IF(G989="","",G989/100*INDEX(Alimentos!$F$5:$F$40,MATCH($D989,Alimentos!$B$5:$B$40,0)))</f>
        <v/>
      </c>
      <c r="J989" s="23" t="str">
        <f aca="false">IF(G989="","",G989/100*INDEX(Alimentos!$G$5:$G$40,MATCH($D989,Alimentos!$B$5:$B$40,0)))</f>
        <v/>
      </c>
      <c r="K989" s="23" t="str">
        <f aca="false">IF(G989="","",G989/100*INDEX(Alimentos!$H$5:$H$40,MATCH($D989,Alimentos!$B$5:$B$40,0)))</f>
        <v/>
      </c>
      <c r="L989" s="24" t="str">
        <f aca="false">IF(OR(A989="",B989=""),"",Perfil!$C$13+(A989-1)*7+MATCH(B989,{"Lunes","Martes","Miércoles","Jueves","Viernes","Sábado","Domingo"},0)-1)</f>
        <v/>
      </c>
    </row>
    <row r="990" customFormat="false" ht="15" hidden="false" customHeight="false" outlineLevel="0" collapsed="false">
      <c r="G990" s="23" t="str">
        <f aca="false">IF(OR(D990="",E990=""),"",E990*IFERROR(VLOOKUP(F990,Perfil!$B$19:$C$24,2,0),1))</f>
        <v/>
      </c>
      <c r="H990" s="23" t="str">
        <f aca="false">IF(G990="","",G990/100*INDEX(Alimentos!$E$5:$E$40,MATCH($D990,Alimentos!$B$5:$B$40,0)))</f>
        <v/>
      </c>
      <c r="I990" s="23" t="str">
        <f aca="false">IF(G990="","",G990/100*INDEX(Alimentos!$F$5:$F$40,MATCH($D990,Alimentos!$B$5:$B$40,0)))</f>
        <v/>
      </c>
      <c r="J990" s="23" t="str">
        <f aca="false">IF(G990="","",G990/100*INDEX(Alimentos!$G$5:$G$40,MATCH($D990,Alimentos!$B$5:$B$40,0)))</f>
        <v/>
      </c>
      <c r="K990" s="23" t="str">
        <f aca="false">IF(G990="","",G990/100*INDEX(Alimentos!$H$5:$H$40,MATCH($D990,Alimentos!$B$5:$B$40,0)))</f>
        <v/>
      </c>
      <c r="L990" s="24" t="str">
        <f aca="false">IF(OR(A990="",B990=""),"",Perfil!$C$13+(A990-1)*7+MATCH(B990,{"Lunes","Martes","Miércoles","Jueves","Viernes","Sábado","Domingo"},0)-1)</f>
        <v/>
      </c>
    </row>
    <row r="991" customFormat="false" ht="15" hidden="false" customHeight="false" outlineLevel="0" collapsed="false">
      <c r="G991" s="23" t="str">
        <f aca="false">IF(OR(D991="",E991=""),"",E991*IFERROR(VLOOKUP(F991,Perfil!$B$19:$C$24,2,0),1))</f>
        <v/>
      </c>
      <c r="H991" s="23" t="str">
        <f aca="false">IF(G991="","",G991/100*INDEX(Alimentos!$E$5:$E$40,MATCH($D991,Alimentos!$B$5:$B$40,0)))</f>
        <v/>
      </c>
      <c r="I991" s="23" t="str">
        <f aca="false">IF(G991="","",G991/100*INDEX(Alimentos!$F$5:$F$40,MATCH($D991,Alimentos!$B$5:$B$40,0)))</f>
        <v/>
      </c>
      <c r="J991" s="23" t="str">
        <f aca="false">IF(G991="","",G991/100*INDEX(Alimentos!$G$5:$G$40,MATCH($D991,Alimentos!$B$5:$B$40,0)))</f>
        <v/>
      </c>
      <c r="K991" s="23" t="str">
        <f aca="false">IF(G991="","",G991/100*INDEX(Alimentos!$H$5:$H$40,MATCH($D991,Alimentos!$B$5:$B$40,0)))</f>
        <v/>
      </c>
      <c r="L991" s="24" t="str">
        <f aca="false">IF(OR(A991="",B991=""),"",Perfil!$C$13+(A991-1)*7+MATCH(B991,{"Lunes","Martes","Miércoles","Jueves","Viernes","Sábado","Domingo"},0)-1)</f>
        <v/>
      </c>
    </row>
    <row r="992" customFormat="false" ht="15" hidden="false" customHeight="false" outlineLevel="0" collapsed="false">
      <c r="G992" s="23" t="str">
        <f aca="false">IF(OR(D992="",E992=""),"",E992*IFERROR(VLOOKUP(F992,Perfil!$B$19:$C$24,2,0),1))</f>
        <v/>
      </c>
      <c r="H992" s="23" t="str">
        <f aca="false">IF(G992="","",G992/100*INDEX(Alimentos!$E$5:$E$40,MATCH($D992,Alimentos!$B$5:$B$40,0)))</f>
        <v/>
      </c>
      <c r="I992" s="23" t="str">
        <f aca="false">IF(G992="","",G992/100*INDEX(Alimentos!$F$5:$F$40,MATCH($D992,Alimentos!$B$5:$B$40,0)))</f>
        <v/>
      </c>
      <c r="J992" s="23" t="str">
        <f aca="false">IF(G992="","",G992/100*INDEX(Alimentos!$G$5:$G$40,MATCH($D992,Alimentos!$B$5:$B$40,0)))</f>
        <v/>
      </c>
      <c r="K992" s="23" t="str">
        <f aca="false">IF(G992="","",G992/100*INDEX(Alimentos!$H$5:$H$40,MATCH($D992,Alimentos!$B$5:$B$40,0)))</f>
        <v/>
      </c>
      <c r="L992" s="24" t="str">
        <f aca="false">IF(OR(A992="",B992=""),"",Perfil!$C$13+(A992-1)*7+MATCH(B992,{"Lunes","Martes","Miércoles","Jueves","Viernes","Sábado","Domingo"},0)-1)</f>
        <v/>
      </c>
    </row>
    <row r="993" customFormat="false" ht="15" hidden="false" customHeight="false" outlineLevel="0" collapsed="false">
      <c r="G993" s="23" t="str">
        <f aca="false">IF(OR(D993="",E993=""),"",E993*IFERROR(VLOOKUP(F993,Perfil!$B$19:$C$24,2,0),1))</f>
        <v/>
      </c>
      <c r="H993" s="23" t="str">
        <f aca="false">IF(G993="","",G993/100*INDEX(Alimentos!$E$5:$E$40,MATCH($D993,Alimentos!$B$5:$B$40,0)))</f>
        <v/>
      </c>
      <c r="I993" s="23" t="str">
        <f aca="false">IF(G993="","",G993/100*INDEX(Alimentos!$F$5:$F$40,MATCH($D993,Alimentos!$B$5:$B$40,0)))</f>
        <v/>
      </c>
      <c r="J993" s="23" t="str">
        <f aca="false">IF(G993="","",G993/100*INDEX(Alimentos!$G$5:$G$40,MATCH($D993,Alimentos!$B$5:$B$40,0)))</f>
        <v/>
      </c>
      <c r="K993" s="23" t="str">
        <f aca="false">IF(G993="","",G993/100*INDEX(Alimentos!$H$5:$H$40,MATCH($D993,Alimentos!$B$5:$B$40,0)))</f>
        <v/>
      </c>
      <c r="L993" s="24" t="str">
        <f aca="false">IF(OR(A993="",B993=""),"",Perfil!$C$13+(A993-1)*7+MATCH(B993,{"Lunes","Martes","Miércoles","Jueves","Viernes","Sábado","Domingo"},0)-1)</f>
        <v/>
      </c>
    </row>
    <row r="994" customFormat="false" ht="15" hidden="false" customHeight="false" outlineLevel="0" collapsed="false">
      <c r="G994" s="23" t="str">
        <f aca="false">IF(OR(D994="",E994=""),"",E994*IFERROR(VLOOKUP(F994,Perfil!$B$19:$C$24,2,0),1))</f>
        <v/>
      </c>
      <c r="H994" s="23" t="str">
        <f aca="false">IF(G994="","",G994/100*INDEX(Alimentos!$E$5:$E$40,MATCH($D994,Alimentos!$B$5:$B$40,0)))</f>
        <v/>
      </c>
      <c r="I994" s="23" t="str">
        <f aca="false">IF(G994="","",G994/100*INDEX(Alimentos!$F$5:$F$40,MATCH($D994,Alimentos!$B$5:$B$40,0)))</f>
        <v/>
      </c>
      <c r="J994" s="23" t="str">
        <f aca="false">IF(G994="","",G994/100*INDEX(Alimentos!$G$5:$G$40,MATCH($D994,Alimentos!$B$5:$B$40,0)))</f>
        <v/>
      </c>
      <c r="K994" s="23" t="str">
        <f aca="false">IF(G994="","",G994/100*INDEX(Alimentos!$H$5:$H$40,MATCH($D994,Alimentos!$B$5:$B$40,0)))</f>
        <v/>
      </c>
      <c r="L994" s="24" t="str">
        <f aca="false">IF(OR(A994="",B994=""),"",Perfil!$C$13+(A994-1)*7+MATCH(B994,{"Lunes","Martes","Miércoles","Jueves","Viernes","Sábado","Domingo"},0)-1)</f>
        <v/>
      </c>
    </row>
    <row r="995" customFormat="false" ht="15" hidden="false" customHeight="false" outlineLevel="0" collapsed="false">
      <c r="G995" s="23" t="str">
        <f aca="false">IF(OR(D995="",E995=""),"",E995*IFERROR(VLOOKUP(F995,Perfil!$B$19:$C$24,2,0),1))</f>
        <v/>
      </c>
      <c r="H995" s="23" t="str">
        <f aca="false">IF(G995="","",G995/100*INDEX(Alimentos!$E$5:$E$40,MATCH($D995,Alimentos!$B$5:$B$40,0)))</f>
        <v/>
      </c>
      <c r="I995" s="23" t="str">
        <f aca="false">IF(G995="","",G995/100*INDEX(Alimentos!$F$5:$F$40,MATCH($D995,Alimentos!$B$5:$B$40,0)))</f>
        <v/>
      </c>
      <c r="J995" s="23" t="str">
        <f aca="false">IF(G995="","",G995/100*INDEX(Alimentos!$G$5:$G$40,MATCH($D995,Alimentos!$B$5:$B$40,0)))</f>
        <v/>
      </c>
      <c r="K995" s="23" t="str">
        <f aca="false">IF(G995="","",G995/100*INDEX(Alimentos!$H$5:$H$40,MATCH($D995,Alimentos!$B$5:$B$40,0)))</f>
        <v/>
      </c>
      <c r="L995" s="24" t="str">
        <f aca="false">IF(OR(A995="",B995=""),"",Perfil!$C$13+(A995-1)*7+MATCH(B995,{"Lunes","Martes","Miércoles","Jueves","Viernes","Sábado","Domingo"},0)-1)</f>
        <v/>
      </c>
    </row>
    <row r="996" customFormat="false" ht="15" hidden="false" customHeight="false" outlineLevel="0" collapsed="false">
      <c r="G996" s="23" t="str">
        <f aca="false">IF(OR(D996="",E996=""),"",E996*IFERROR(VLOOKUP(F996,Perfil!$B$19:$C$24,2,0),1))</f>
        <v/>
      </c>
      <c r="H996" s="23" t="str">
        <f aca="false">IF(G996="","",G996/100*INDEX(Alimentos!$E$5:$E$40,MATCH($D996,Alimentos!$B$5:$B$40,0)))</f>
        <v/>
      </c>
      <c r="I996" s="23" t="str">
        <f aca="false">IF(G996="","",G996/100*INDEX(Alimentos!$F$5:$F$40,MATCH($D996,Alimentos!$B$5:$B$40,0)))</f>
        <v/>
      </c>
      <c r="J996" s="23" t="str">
        <f aca="false">IF(G996="","",G996/100*INDEX(Alimentos!$G$5:$G$40,MATCH($D996,Alimentos!$B$5:$B$40,0)))</f>
        <v/>
      </c>
      <c r="K996" s="23" t="str">
        <f aca="false">IF(G996="","",G996/100*INDEX(Alimentos!$H$5:$H$40,MATCH($D996,Alimentos!$B$5:$B$40,0)))</f>
        <v/>
      </c>
      <c r="L996" s="24" t="str">
        <f aca="false">IF(OR(A996="",B996=""),"",Perfil!$C$13+(A996-1)*7+MATCH(B996,{"Lunes","Martes","Miércoles","Jueves","Viernes","Sábado","Domingo"},0)-1)</f>
        <v/>
      </c>
    </row>
    <row r="997" customFormat="false" ht="15" hidden="false" customHeight="false" outlineLevel="0" collapsed="false">
      <c r="G997" s="23" t="str">
        <f aca="false">IF(OR(D997="",E997=""),"",E997*IFERROR(VLOOKUP(F997,Perfil!$B$19:$C$24,2,0),1))</f>
        <v/>
      </c>
      <c r="H997" s="23" t="str">
        <f aca="false">IF(G997="","",G997/100*INDEX(Alimentos!$E$5:$E$40,MATCH($D997,Alimentos!$B$5:$B$40,0)))</f>
        <v/>
      </c>
      <c r="I997" s="23" t="str">
        <f aca="false">IF(G997="","",G997/100*INDEX(Alimentos!$F$5:$F$40,MATCH($D997,Alimentos!$B$5:$B$40,0)))</f>
        <v/>
      </c>
      <c r="J997" s="23" t="str">
        <f aca="false">IF(G997="","",G997/100*INDEX(Alimentos!$G$5:$G$40,MATCH($D997,Alimentos!$B$5:$B$40,0)))</f>
        <v/>
      </c>
      <c r="K997" s="23" t="str">
        <f aca="false">IF(G997="","",G997/100*INDEX(Alimentos!$H$5:$H$40,MATCH($D997,Alimentos!$B$5:$B$40,0)))</f>
        <v/>
      </c>
      <c r="L997" s="24" t="str">
        <f aca="false">IF(OR(A997="",B997=""),"",Perfil!$C$13+(A997-1)*7+MATCH(B997,{"Lunes","Martes","Miércoles","Jueves","Viernes","Sábado","Domingo"},0)-1)</f>
        <v/>
      </c>
    </row>
    <row r="998" customFormat="false" ht="15" hidden="false" customHeight="false" outlineLevel="0" collapsed="false">
      <c r="G998" s="23" t="str">
        <f aca="false">IF(OR(D998="",E998=""),"",E998*IFERROR(VLOOKUP(F998,Perfil!$B$19:$C$24,2,0),1))</f>
        <v/>
      </c>
      <c r="H998" s="23" t="str">
        <f aca="false">IF(G998="","",G998/100*INDEX(Alimentos!$E$5:$E$40,MATCH($D998,Alimentos!$B$5:$B$40,0)))</f>
        <v/>
      </c>
      <c r="I998" s="23" t="str">
        <f aca="false">IF(G998="","",G998/100*INDEX(Alimentos!$F$5:$F$40,MATCH($D998,Alimentos!$B$5:$B$40,0)))</f>
        <v/>
      </c>
      <c r="J998" s="23" t="str">
        <f aca="false">IF(G998="","",G998/100*INDEX(Alimentos!$G$5:$G$40,MATCH($D998,Alimentos!$B$5:$B$40,0)))</f>
        <v/>
      </c>
      <c r="K998" s="23" t="str">
        <f aca="false">IF(G998="","",G998/100*INDEX(Alimentos!$H$5:$H$40,MATCH($D998,Alimentos!$B$5:$B$40,0)))</f>
        <v/>
      </c>
      <c r="L998" s="24" t="str">
        <f aca="false">IF(OR(A998="",B998=""),"",Perfil!$C$13+(A998-1)*7+MATCH(B998,{"Lunes","Martes","Miércoles","Jueves","Viernes","Sábado","Domingo"},0)-1)</f>
        <v/>
      </c>
    </row>
    <row r="999" customFormat="false" ht="15" hidden="false" customHeight="false" outlineLevel="0" collapsed="false">
      <c r="G999" s="23" t="str">
        <f aca="false">IF(OR(D999="",E999=""),"",E999*IFERROR(VLOOKUP(F999,Perfil!$B$19:$C$24,2,0),1))</f>
        <v/>
      </c>
      <c r="H999" s="23" t="str">
        <f aca="false">IF(G999="","",G999/100*INDEX(Alimentos!$E$5:$E$40,MATCH($D999,Alimentos!$B$5:$B$40,0)))</f>
        <v/>
      </c>
      <c r="I999" s="23" t="str">
        <f aca="false">IF(G999="","",G999/100*INDEX(Alimentos!$F$5:$F$40,MATCH($D999,Alimentos!$B$5:$B$40,0)))</f>
        <v/>
      </c>
      <c r="J999" s="23" t="str">
        <f aca="false">IF(G999="","",G999/100*INDEX(Alimentos!$G$5:$G$40,MATCH($D999,Alimentos!$B$5:$B$40,0)))</f>
        <v/>
      </c>
      <c r="K999" s="23" t="str">
        <f aca="false">IF(G999="","",G999/100*INDEX(Alimentos!$H$5:$H$40,MATCH($D999,Alimentos!$B$5:$B$40,0)))</f>
        <v/>
      </c>
      <c r="L999" s="24" t="str">
        <f aca="false">IF(OR(A999="",B999=""),"",Perfil!$C$13+(A999-1)*7+MATCH(B999,{"Lunes","Martes","Miércoles","Jueves","Viernes","Sábado","Domingo"},0)-1)</f>
        <v/>
      </c>
    </row>
    <row r="1000" customFormat="false" ht="15" hidden="false" customHeight="false" outlineLevel="0" collapsed="false">
      <c r="G1000" s="23" t="str">
        <f aca="false">IF(OR(D1000="",E1000=""),"",E1000*IFERROR(VLOOKUP(F1000,Perfil!$B$19:$C$24,2,0),1))</f>
        <v/>
      </c>
      <c r="H1000" s="23" t="str">
        <f aca="false">IF(G1000="","",G1000/100*INDEX(Alimentos!$E$5:$E$40,MATCH($D1000,Alimentos!$B$5:$B$40,0)))</f>
        <v/>
      </c>
      <c r="I1000" s="23" t="str">
        <f aca="false">IF(G1000="","",G1000/100*INDEX(Alimentos!$F$5:$F$40,MATCH($D1000,Alimentos!$B$5:$B$40,0)))</f>
        <v/>
      </c>
      <c r="J1000" s="23" t="str">
        <f aca="false">IF(G1000="","",G1000/100*INDEX(Alimentos!$G$5:$G$40,MATCH($D1000,Alimentos!$B$5:$B$40,0)))</f>
        <v/>
      </c>
      <c r="K1000" s="23" t="str">
        <f aca="false">IF(G1000="","",G1000/100*INDEX(Alimentos!$H$5:$H$40,MATCH($D1000,Alimentos!$B$5:$B$40,0)))</f>
        <v/>
      </c>
      <c r="L1000" s="24" t="str">
        <f aca="false">IF(OR(A1000="",B1000=""),"",Perfil!$C$13+(A1000-1)*7+MATCH(B1000,{"Lunes","Martes","Miércoles","Jueves","Viernes","Sábado","Domingo"},0)-1)</f>
        <v/>
      </c>
    </row>
    <row r="1001" customFormat="false" ht="15" hidden="false" customHeight="false" outlineLevel="0" collapsed="false">
      <c r="G1001" s="23" t="str">
        <f aca="false">IF(OR(D1001="",E1001=""),"",E1001*IFERROR(VLOOKUP(F1001,Perfil!$B$19:$C$24,2,0),1))</f>
        <v/>
      </c>
      <c r="H1001" s="23" t="str">
        <f aca="false">IF(G1001="","",G1001/100*INDEX(Alimentos!$E$5:$E$40,MATCH($D1001,Alimentos!$B$5:$B$40,0)))</f>
        <v/>
      </c>
      <c r="I1001" s="23" t="str">
        <f aca="false">IF(G1001="","",G1001/100*INDEX(Alimentos!$F$5:$F$40,MATCH($D1001,Alimentos!$B$5:$B$40,0)))</f>
        <v/>
      </c>
      <c r="J1001" s="23" t="str">
        <f aca="false">IF(G1001="","",G1001/100*INDEX(Alimentos!$G$5:$G$40,MATCH($D1001,Alimentos!$B$5:$B$40,0)))</f>
        <v/>
      </c>
      <c r="K1001" s="23" t="str">
        <f aca="false">IF(G1001="","",G1001/100*INDEX(Alimentos!$H$5:$H$40,MATCH($D1001,Alimentos!$B$5:$B$40,0)))</f>
        <v/>
      </c>
      <c r="L1001" s="24" t="str">
        <f aca="false">IF(OR(A1001="",B1001=""),"",Perfil!$C$13+(A1001-1)*7+MATCH(B1001,{"Lunes","Martes","Miércoles","Jueves","Viernes","Sábado","Domingo"},0)-1)</f>
        <v/>
      </c>
    </row>
    <row r="1002" customFormat="false" ht="15" hidden="false" customHeight="false" outlineLevel="0" collapsed="false">
      <c r="G1002" s="23" t="str">
        <f aca="false">IF(OR(D1002="",E1002=""),"",E1002*IFERROR(VLOOKUP(F1002,Perfil!$B$19:$C$24,2,0),1))</f>
        <v/>
      </c>
      <c r="H1002" s="23" t="str">
        <f aca="false">IF(G1002="","",G1002/100*INDEX(Alimentos!$E$5:$E$40,MATCH($D1002,Alimentos!$B$5:$B$40,0)))</f>
        <v/>
      </c>
      <c r="I1002" s="23" t="str">
        <f aca="false">IF(G1002="","",G1002/100*INDEX(Alimentos!$F$5:$F$40,MATCH($D1002,Alimentos!$B$5:$B$40,0)))</f>
        <v/>
      </c>
      <c r="J1002" s="23" t="str">
        <f aca="false">IF(G1002="","",G1002/100*INDEX(Alimentos!$G$5:$G$40,MATCH($D1002,Alimentos!$B$5:$B$40,0)))</f>
        <v/>
      </c>
      <c r="K1002" s="23" t="str">
        <f aca="false">IF(G1002="","",G1002/100*INDEX(Alimentos!$H$5:$H$40,MATCH($D1002,Alimentos!$B$5:$B$40,0)))</f>
        <v/>
      </c>
      <c r="L1002" s="24" t="str">
        <f aca="false">IF(OR(A1002="",B1002=""),"",Perfil!$C$13+(A1002-1)*7+MATCH(B1002,{"Lunes","Martes","Miércoles","Jueves","Viernes","Sábado","Domingo"},0)-1)</f>
        <v/>
      </c>
    </row>
    <row r="1003" customFormat="false" ht="15" hidden="false" customHeight="false" outlineLevel="0" collapsed="false">
      <c r="G1003" s="23" t="str">
        <f aca="false">IF(OR(D1003="",E1003=""),"",E1003*IFERROR(VLOOKUP(F1003,Perfil!$B$19:$C$24,2,0),1))</f>
        <v/>
      </c>
      <c r="H1003" s="23" t="str">
        <f aca="false">IF(G1003="","",G1003/100*INDEX(Alimentos!$E$5:$E$40,MATCH($D1003,Alimentos!$B$5:$B$40,0)))</f>
        <v/>
      </c>
      <c r="I1003" s="23" t="str">
        <f aca="false">IF(G1003="","",G1003/100*INDEX(Alimentos!$F$5:$F$40,MATCH($D1003,Alimentos!$B$5:$B$40,0)))</f>
        <v/>
      </c>
      <c r="J1003" s="23" t="str">
        <f aca="false">IF(G1003="","",G1003/100*INDEX(Alimentos!$G$5:$G$40,MATCH($D1003,Alimentos!$B$5:$B$40,0)))</f>
        <v/>
      </c>
      <c r="K1003" s="23" t="str">
        <f aca="false">IF(G1003="","",G1003/100*INDEX(Alimentos!$H$5:$H$40,MATCH($D1003,Alimentos!$B$5:$B$40,0)))</f>
        <v/>
      </c>
      <c r="L1003" s="24" t="str">
        <f aca="false">IF(OR(A1003="",B1003=""),"",Perfil!$C$13+(A1003-1)*7+MATCH(B1003,{"Lunes","Martes","Miércoles","Jueves","Viernes","Sábado","Domingo"},0)-1)</f>
        <v/>
      </c>
    </row>
    <row r="1004" customFormat="false" ht="15" hidden="false" customHeight="false" outlineLevel="0" collapsed="false">
      <c r="G1004" s="23" t="str">
        <f aca="false">IF(OR(D1004="",E1004=""),"",E1004*IFERROR(VLOOKUP(F1004,Perfil!$B$19:$C$24,2,0),1))</f>
        <v/>
      </c>
      <c r="H1004" s="23" t="str">
        <f aca="false">IF(G1004="","",G1004/100*INDEX(Alimentos!$E$5:$E$40,MATCH($D1004,Alimentos!$B$5:$B$40,0)))</f>
        <v/>
      </c>
      <c r="I1004" s="23" t="str">
        <f aca="false">IF(G1004="","",G1004/100*INDEX(Alimentos!$F$5:$F$40,MATCH($D1004,Alimentos!$B$5:$B$40,0)))</f>
        <v/>
      </c>
      <c r="J1004" s="23" t="str">
        <f aca="false">IF(G1004="","",G1004/100*INDEX(Alimentos!$G$5:$G$40,MATCH($D1004,Alimentos!$B$5:$B$40,0)))</f>
        <v/>
      </c>
      <c r="K1004" s="23" t="str">
        <f aca="false">IF(G1004="","",G1004/100*INDEX(Alimentos!$H$5:$H$40,MATCH($D1004,Alimentos!$B$5:$B$40,0)))</f>
        <v/>
      </c>
      <c r="L1004" s="24" t="str">
        <f aca="false">IF(OR(A1004="",B1004=""),"",Perfil!$C$13+(A1004-1)*7+MATCH(B1004,{"Lunes","Martes","Miércoles","Jueves","Viernes","Sábado","Domingo"},0)-1)</f>
        <v/>
      </c>
    </row>
    <row r="1005" customFormat="false" ht="15" hidden="false" customHeight="false" outlineLevel="0" collapsed="false">
      <c r="G1005" s="23" t="str">
        <f aca="false">IF(OR(D1005="",E1005=""),"",E1005*IFERROR(VLOOKUP(F1005,Perfil!$B$19:$C$24,2,0),1))</f>
        <v/>
      </c>
      <c r="H1005" s="23" t="str">
        <f aca="false">IF(G1005="","",G1005/100*INDEX(Alimentos!$E$5:$E$40,MATCH($D1005,Alimentos!$B$5:$B$40,0)))</f>
        <v/>
      </c>
      <c r="I1005" s="23" t="str">
        <f aca="false">IF(G1005="","",G1005/100*INDEX(Alimentos!$F$5:$F$40,MATCH($D1005,Alimentos!$B$5:$B$40,0)))</f>
        <v/>
      </c>
      <c r="J1005" s="23" t="str">
        <f aca="false">IF(G1005="","",G1005/100*INDEX(Alimentos!$G$5:$G$40,MATCH($D1005,Alimentos!$B$5:$B$40,0)))</f>
        <v/>
      </c>
      <c r="K1005" s="23" t="str">
        <f aca="false">IF(G1005="","",G1005/100*INDEX(Alimentos!$H$5:$H$40,MATCH($D1005,Alimentos!$B$5:$B$40,0)))</f>
        <v/>
      </c>
      <c r="L1005" s="24" t="str">
        <f aca="false">IF(OR(A1005="",B1005=""),"",Perfil!$C$13+(A1005-1)*7+MATCH(B1005,{"Lunes","Martes","Miércoles","Jueves","Viernes","Sábado","Domingo"},0)-1)</f>
        <v/>
      </c>
    </row>
  </sheetData>
  <dataValidations count="5">
    <dataValidation allowBlank="true" errorStyle="stop" operator="between" showDropDown="false" showErrorMessage="false" showInputMessage="false" sqref="B6:B1005" type="list">
      <formula1>"Lunes,Martes,Miércoles,Jueves,Viernes,Sábado,Domingo"</formula1>
      <formula2>0</formula2>
    </dataValidation>
    <dataValidation allowBlank="true" errorStyle="stop" operator="between" showDropDown="false" showErrorMessage="false" showInputMessage="false" sqref="C6:C1005" type="list">
      <formula1>"Desayuno,Almuerzo,Merienda,Cena,Extra"</formula1>
      <formula2>0</formula2>
    </dataValidation>
    <dataValidation allowBlank="true" errorStyle="stop" operator="between" showDropDown="false" showErrorMessage="false" showInputMessage="false" sqref="D6:D1005" type="list">
      <formula1>Alimentos!$B$5:$B$40</formula1>
      <formula2>0</formula2>
    </dataValidation>
    <dataValidation allowBlank="true" errorStyle="stop" operator="between" showDropDown="false" showErrorMessage="false" showInputMessage="false" sqref="F6:F1005" type="list">
      <formula1>"g,rebanada,scoop,cucharón,papa grande,cdta"</formula1>
      <formula2>0</formula2>
    </dataValidation>
    <dataValidation allowBlank="true" errorStyle="stop" operator="between" showDropDown="false" showErrorMessage="false" showInputMessage="false" sqref="A6:A1005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1" min="10" style="0" width="11"/>
  </cols>
  <sheetData>
    <row r="1" customFormat="false" ht="18.5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2" t="s">
        <v>268</v>
      </c>
    </row>
    <row r="3" customFormat="false" ht="15" hidden="false" customHeight="false" outlineLevel="0" collapsed="false">
      <c r="B3" s="5" t="s">
        <v>269</v>
      </c>
      <c r="C3" s="6" t="n">
        <v>1</v>
      </c>
      <c r="E3" s="9" t="s">
        <v>270</v>
      </c>
      <c r="F3" s="25" t="n">
        <f aca="false">INDEX(Plan_12sem!$J$5:$J$16,$C$3)</f>
        <v>1660</v>
      </c>
      <c r="H3" s="9" t="s">
        <v>271</v>
      </c>
      <c r="I3" s="5" t="n">
        <f aca="false">INDEX(Plan_12sem!$L$5:$L$16,$C$3)</f>
        <v>103</v>
      </c>
    </row>
    <row r="5" customFormat="false" ht="33.75" hidden="false" customHeight="true" outlineLevel="0" collapsed="false">
      <c r="A5" s="8" t="s">
        <v>235</v>
      </c>
      <c r="B5" s="8" t="s">
        <v>272</v>
      </c>
      <c r="C5" s="8" t="s">
        <v>273</v>
      </c>
      <c r="D5" s="8" t="s">
        <v>274</v>
      </c>
      <c r="E5" s="8" t="s">
        <v>275</v>
      </c>
      <c r="F5" s="8" t="s">
        <v>106</v>
      </c>
      <c r="G5" s="8" t="s">
        <v>276</v>
      </c>
      <c r="H5" s="8" t="s">
        <v>277</v>
      </c>
      <c r="I5" s="8" t="s">
        <v>278</v>
      </c>
      <c r="J5" s="8" t="s">
        <v>109</v>
      </c>
      <c r="K5" s="8" t="s">
        <v>265</v>
      </c>
    </row>
    <row r="6" customFormat="false" ht="15" hidden="false" customHeight="false" outlineLevel="0" collapsed="false">
      <c r="A6" s="10" t="s">
        <v>240</v>
      </c>
      <c r="B6" s="14" t="n">
        <f aca="false">SUMIFS(Registro!$H$6:$H$1005,Registro!$A$6:$A$1005,$C$3,Registro!$B$6:$B$1005,$A6)</f>
        <v>0</v>
      </c>
      <c r="C6" s="14" t="n">
        <f aca="false">$F$3</f>
        <v>1660</v>
      </c>
      <c r="D6" s="18" t="str">
        <f aca="false">IF(B6=0,"",B6-C6)</f>
        <v/>
      </c>
      <c r="E6" s="26" t="str">
        <f aca="false">IF(B6=0,"",B6/C6)</f>
        <v/>
      </c>
      <c r="F6" s="10" t="str">
        <f aca="false">IF(B6=0,"Sin registro",IF(ABS(E6-1)&lt;=0.05,"Cumple",IF(E6&gt;1.05,"Exceso","Falta")))</f>
        <v>Sin registro</v>
      </c>
      <c r="G6" s="14" t="n">
        <f aca="false">SUMIFS(Registro!$I$6:$I$1005,Registro!$A$6:$A$1005,$C$3,Registro!$B$6:$B$1005,$A6)</f>
        <v>0</v>
      </c>
      <c r="H6" s="10" t="n">
        <f aca="false">$I$3</f>
        <v>103</v>
      </c>
      <c r="I6" s="14" t="str">
        <f aca="false">IF(G6=0,"",MAX(0,H6-G6))</f>
        <v/>
      </c>
      <c r="J6" s="14" t="n">
        <f aca="false">SUMIFS(Registro!$J$6:$J$1005,Registro!$A$6:$A$1005,$C$3,Registro!$B$6:$B$1005,$A6)</f>
        <v>0</v>
      </c>
      <c r="K6" s="14" t="n">
        <f aca="false">SUMIFS(Registro!$K$6:$K$1005,Registro!$A$6:$A$1005,$C$3,Registro!$B$6:$B$1005,$A6)</f>
        <v>0</v>
      </c>
    </row>
    <row r="7" customFormat="false" ht="15" hidden="false" customHeight="false" outlineLevel="0" collapsed="false">
      <c r="A7" s="10" t="s">
        <v>245</v>
      </c>
      <c r="B7" s="14" t="n">
        <f aca="false">SUMIFS(Registro!$H$6:$H$1005,Registro!$A$6:$A$1005,$C$3,Registro!$B$6:$B$1005,$A7)</f>
        <v>0</v>
      </c>
      <c r="C7" s="14" t="n">
        <f aca="false">$F$3</f>
        <v>1660</v>
      </c>
      <c r="D7" s="18" t="str">
        <f aca="false">IF(B7=0,"",B7-C7)</f>
        <v/>
      </c>
      <c r="E7" s="26" t="str">
        <f aca="false">IF(B7=0,"",B7/C7)</f>
        <v/>
      </c>
      <c r="F7" s="10" t="str">
        <f aca="false">IF(B7=0,"Sin registro",IF(ABS(E7-1)&lt;=0.05,"Cumple",IF(E7&gt;1.05,"Exceso","Falta")))</f>
        <v>Sin registro</v>
      </c>
      <c r="G7" s="14" t="n">
        <f aca="false">SUMIFS(Registro!$I$6:$I$1005,Registro!$A$6:$A$1005,$C$3,Registro!$B$6:$B$1005,$A7)</f>
        <v>0</v>
      </c>
      <c r="H7" s="10" t="n">
        <f aca="false">$I$3</f>
        <v>103</v>
      </c>
      <c r="I7" s="14" t="str">
        <f aca="false">IF(G7=0,"",MAX(0,H7-G7))</f>
        <v/>
      </c>
      <c r="J7" s="14" t="n">
        <f aca="false">SUMIFS(Registro!$J$6:$J$1005,Registro!$A$6:$A$1005,$C$3,Registro!$B$6:$B$1005,$A7)</f>
        <v>0</v>
      </c>
      <c r="K7" s="14" t="n">
        <f aca="false">SUMIFS(Registro!$K$6:$K$1005,Registro!$A$6:$A$1005,$C$3,Registro!$B$6:$B$1005,$A7)</f>
        <v>0</v>
      </c>
    </row>
    <row r="8" customFormat="false" ht="15" hidden="false" customHeight="false" outlineLevel="0" collapsed="false">
      <c r="A8" s="10" t="s">
        <v>246</v>
      </c>
      <c r="B8" s="14" t="n">
        <f aca="false">SUMIFS(Registro!$H$6:$H$1005,Registro!$A$6:$A$1005,$C$3,Registro!$B$6:$B$1005,$A8)</f>
        <v>0</v>
      </c>
      <c r="C8" s="14" t="n">
        <f aca="false">$F$3</f>
        <v>1660</v>
      </c>
      <c r="D8" s="18" t="str">
        <f aca="false">IF(B8=0,"",B8-C8)</f>
        <v/>
      </c>
      <c r="E8" s="26" t="str">
        <f aca="false">IF(B8=0,"",B8/C8)</f>
        <v/>
      </c>
      <c r="F8" s="10" t="str">
        <f aca="false">IF(B8=0,"Sin registro",IF(ABS(E8-1)&lt;=0.05,"Cumple",IF(E8&gt;1.05,"Exceso","Falta")))</f>
        <v>Sin registro</v>
      </c>
      <c r="G8" s="14" t="n">
        <f aca="false">SUMIFS(Registro!$I$6:$I$1005,Registro!$A$6:$A$1005,$C$3,Registro!$B$6:$B$1005,$A8)</f>
        <v>0</v>
      </c>
      <c r="H8" s="10" t="n">
        <f aca="false">$I$3</f>
        <v>103</v>
      </c>
      <c r="I8" s="14" t="str">
        <f aca="false">IF(G8=0,"",MAX(0,H8-G8))</f>
        <v/>
      </c>
      <c r="J8" s="14" t="n">
        <f aca="false">SUMIFS(Registro!$J$6:$J$1005,Registro!$A$6:$A$1005,$C$3,Registro!$B$6:$B$1005,$A8)</f>
        <v>0</v>
      </c>
      <c r="K8" s="14" t="n">
        <f aca="false">SUMIFS(Registro!$K$6:$K$1005,Registro!$A$6:$A$1005,$C$3,Registro!$B$6:$B$1005,$A8)</f>
        <v>0</v>
      </c>
    </row>
    <row r="9" customFormat="false" ht="15" hidden="false" customHeight="false" outlineLevel="0" collapsed="false">
      <c r="A9" s="10" t="s">
        <v>247</v>
      </c>
      <c r="B9" s="14" t="n">
        <f aca="false">SUMIFS(Registro!$H$6:$H$1005,Registro!$A$6:$A$1005,$C$3,Registro!$B$6:$B$1005,$A9)</f>
        <v>0</v>
      </c>
      <c r="C9" s="14" t="n">
        <f aca="false">$F$3</f>
        <v>1660</v>
      </c>
      <c r="D9" s="18" t="str">
        <f aca="false">IF(B9=0,"",B9-C9)</f>
        <v/>
      </c>
      <c r="E9" s="26" t="str">
        <f aca="false">IF(B9=0,"",B9/C9)</f>
        <v/>
      </c>
      <c r="F9" s="10" t="str">
        <f aca="false">IF(B9=0,"Sin registro",IF(ABS(E9-1)&lt;=0.05,"Cumple",IF(E9&gt;1.05,"Exceso","Falta")))</f>
        <v>Sin registro</v>
      </c>
      <c r="G9" s="14" t="n">
        <f aca="false">SUMIFS(Registro!$I$6:$I$1005,Registro!$A$6:$A$1005,$C$3,Registro!$B$6:$B$1005,$A9)</f>
        <v>0</v>
      </c>
      <c r="H9" s="10" t="n">
        <f aca="false">$I$3</f>
        <v>103</v>
      </c>
      <c r="I9" s="14" t="str">
        <f aca="false">IF(G9=0,"",MAX(0,H9-G9))</f>
        <v/>
      </c>
      <c r="J9" s="14" t="n">
        <f aca="false">SUMIFS(Registro!$J$6:$J$1005,Registro!$A$6:$A$1005,$C$3,Registro!$B$6:$B$1005,$A9)</f>
        <v>0</v>
      </c>
      <c r="K9" s="14" t="n">
        <f aca="false">SUMIFS(Registro!$K$6:$K$1005,Registro!$A$6:$A$1005,$C$3,Registro!$B$6:$B$1005,$A9)</f>
        <v>0</v>
      </c>
    </row>
    <row r="10" customFormat="false" ht="15" hidden="false" customHeight="false" outlineLevel="0" collapsed="false">
      <c r="A10" s="10" t="s">
        <v>248</v>
      </c>
      <c r="B10" s="14" t="n">
        <f aca="false">SUMIFS(Registro!$H$6:$H$1005,Registro!$A$6:$A$1005,$C$3,Registro!$B$6:$B$1005,$A10)</f>
        <v>0</v>
      </c>
      <c r="C10" s="14" t="n">
        <f aca="false">$F$3</f>
        <v>1660</v>
      </c>
      <c r="D10" s="18" t="str">
        <f aca="false">IF(B10=0,"",B10-C10)</f>
        <v/>
      </c>
      <c r="E10" s="26" t="str">
        <f aca="false">IF(B10=0,"",B10/C10)</f>
        <v/>
      </c>
      <c r="F10" s="10" t="str">
        <f aca="false">IF(B10=0,"Sin registro",IF(ABS(E10-1)&lt;=0.05,"Cumple",IF(E10&gt;1.05,"Exceso","Falta")))</f>
        <v>Sin registro</v>
      </c>
      <c r="G10" s="14" t="n">
        <f aca="false">SUMIFS(Registro!$I$6:$I$1005,Registro!$A$6:$A$1005,$C$3,Registro!$B$6:$B$1005,$A10)</f>
        <v>0</v>
      </c>
      <c r="H10" s="10" t="n">
        <f aca="false">$I$3</f>
        <v>103</v>
      </c>
      <c r="I10" s="14" t="str">
        <f aca="false">IF(G10=0,"",MAX(0,H10-G10))</f>
        <v/>
      </c>
      <c r="J10" s="14" t="n">
        <f aca="false">SUMIFS(Registro!$J$6:$J$1005,Registro!$A$6:$A$1005,$C$3,Registro!$B$6:$B$1005,$A10)</f>
        <v>0</v>
      </c>
      <c r="K10" s="14" t="n">
        <f aca="false">SUMIFS(Registro!$K$6:$K$1005,Registro!$A$6:$A$1005,$C$3,Registro!$B$6:$B$1005,$A10)</f>
        <v>0</v>
      </c>
    </row>
    <row r="11" customFormat="false" ht="15" hidden="false" customHeight="false" outlineLevel="0" collapsed="false">
      <c r="A11" s="10" t="s">
        <v>249</v>
      </c>
      <c r="B11" s="14" t="n">
        <f aca="false">SUMIFS(Registro!$H$6:$H$1005,Registro!$A$6:$A$1005,$C$3,Registro!$B$6:$B$1005,$A11)</f>
        <v>0</v>
      </c>
      <c r="C11" s="14" t="n">
        <f aca="false">$F$3</f>
        <v>1660</v>
      </c>
      <c r="D11" s="18" t="str">
        <f aca="false">IF(B11=0,"",B11-C11)</f>
        <v/>
      </c>
      <c r="E11" s="26" t="str">
        <f aca="false">IF(B11=0,"",B11/C11)</f>
        <v/>
      </c>
      <c r="F11" s="10" t="str">
        <f aca="false">IF(B11=0,"Sin registro",IF(ABS(E11-1)&lt;=0.05,"Cumple",IF(E11&gt;1.05,"Exceso","Falta")))</f>
        <v>Sin registro</v>
      </c>
      <c r="G11" s="14" t="n">
        <f aca="false">SUMIFS(Registro!$I$6:$I$1005,Registro!$A$6:$A$1005,$C$3,Registro!$B$6:$B$1005,$A11)</f>
        <v>0</v>
      </c>
      <c r="H11" s="10" t="n">
        <f aca="false">$I$3</f>
        <v>103</v>
      </c>
      <c r="I11" s="14" t="str">
        <f aca="false">IF(G11=0,"",MAX(0,H11-G11))</f>
        <v/>
      </c>
      <c r="J11" s="14" t="n">
        <f aca="false">SUMIFS(Registro!$J$6:$J$1005,Registro!$A$6:$A$1005,$C$3,Registro!$B$6:$B$1005,$A11)</f>
        <v>0</v>
      </c>
      <c r="K11" s="14" t="n">
        <f aca="false">SUMIFS(Registro!$K$6:$K$1005,Registro!$A$6:$A$1005,$C$3,Registro!$B$6:$B$1005,$A11)</f>
        <v>0</v>
      </c>
    </row>
    <row r="12" customFormat="false" ht="15" hidden="false" customHeight="false" outlineLevel="0" collapsed="false">
      <c r="A12" s="10" t="s">
        <v>250</v>
      </c>
      <c r="B12" s="14" t="n">
        <f aca="false">SUMIFS(Registro!$H$6:$H$1005,Registro!$A$6:$A$1005,$C$3,Registro!$B$6:$B$1005,$A12)</f>
        <v>0</v>
      </c>
      <c r="C12" s="14" t="n">
        <f aca="false">$F$3</f>
        <v>1660</v>
      </c>
      <c r="D12" s="18" t="str">
        <f aca="false">IF(B12=0,"",B12-C12)</f>
        <v/>
      </c>
      <c r="E12" s="26" t="str">
        <f aca="false">IF(B12=0,"",B12/C12)</f>
        <v/>
      </c>
      <c r="F12" s="10" t="str">
        <f aca="false">IF(B12=0,"Sin registro",IF(ABS(E12-1)&lt;=0.05,"Cumple",IF(E12&gt;1.05,"Exceso","Falta")))</f>
        <v>Sin registro</v>
      </c>
      <c r="G12" s="14" t="n">
        <f aca="false">SUMIFS(Registro!$I$6:$I$1005,Registro!$A$6:$A$1005,$C$3,Registro!$B$6:$B$1005,$A12)</f>
        <v>0</v>
      </c>
      <c r="H12" s="10" t="n">
        <f aca="false">$I$3</f>
        <v>103</v>
      </c>
      <c r="I12" s="14" t="str">
        <f aca="false">IF(G12=0,"",MAX(0,H12-G12))</f>
        <v/>
      </c>
      <c r="J12" s="14" t="n">
        <f aca="false">SUMIFS(Registro!$J$6:$J$1005,Registro!$A$6:$A$1005,$C$3,Registro!$B$6:$B$1005,$A12)</f>
        <v>0</v>
      </c>
      <c r="K12" s="14" t="n">
        <f aca="false">SUMIFS(Registro!$K$6:$K$1005,Registro!$A$6:$A$1005,$C$3,Registro!$B$6:$B$1005,$A12)</f>
        <v>0</v>
      </c>
    </row>
    <row r="13" customFormat="false" ht="15" hidden="false" customHeight="false" outlineLevel="0" collapsed="false">
      <c r="A13" s="27" t="s">
        <v>264</v>
      </c>
      <c r="B13" s="21" t="n">
        <f aca="false">SUM(B6:B12)</f>
        <v>0</v>
      </c>
      <c r="C13" s="21" t="n">
        <f aca="false">C6*COUNTIF(B6:B12,"&gt;0")</f>
        <v>0</v>
      </c>
      <c r="D13" s="28" t="str">
        <f aca="false">IF(C13=0,"",B13-C13)</f>
        <v/>
      </c>
      <c r="E13" s="29" t="str">
        <f aca="false">IF(C13=0,"",B13/C13)</f>
        <v/>
      </c>
      <c r="F13" s="27"/>
      <c r="G13" s="21" t="n">
        <f aca="false">SUM(G6:G12)</f>
        <v>0</v>
      </c>
      <c r="H13" s="27" t="n">
        <f aca="false">H6*COUNTIF(G6:G12,"&gt;0")</f>
        <v>0</v>
      </c>
      <c r="I13" s="21" t="str">
        <f aca="false">IF(H13=0,"",MAX(0,H13-G13))</f>
        <v/>
      </c>
      <c r="J13" s="27"/>
      <c r="K13" s="27"/>
    </row>
    <row r="15" customFormat="false" ht="15" hidden="false" customHeight="false" outlineLevel="0" collapsed="false">
      <c r="A15" s="19" t="s">
        <v>279</v>
      </c>
    </row>
  </sheetData>
  <conditionalFormatting sqref="F6:F12">
    <cfRule type="cellIs" priority="2" operator="equal" aboveAverage="0" equalAverage="0" bottom="0" percent="0" rank="0" text="" dxfId="7">
      <formula>"Cumple"</formula>
    </cfRule>
    <cfRule type="cellIs" priority="3" operator="equal" aboveAverage="0" equalAverage="0" bottom="0" percent="0" rank="0" text="" dxfId="0">
      <formula>"Exceso"</formula>
    </cfRule>
    <cfRule type="cellIs" priority="4" operator="equal" aboveAverage="0" equalAverage="0" bottom="0" percent="0" rank="0" text="" dxfId="8">
      <formula>"Falta"</formula>
    </cfRule>
  </conditionalFormatting>
  <dataValidations count="1">
    <dataValidation allowBlank="false" errorStyle="stop" operator="between" showDropDown="false" showErrorMessage="false" showInputMessage="false" sqref="C3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10" min="7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4" min="13" style="0" width="11"/>
    <col collapsed="false" customWidth="true" hidden="false" outlineLevel="0" max="15" min="15" style="0" width="16"/>
  </cols>
  <sheetData>
    <row r="1" customFormat="false" ht="18.55" hidden="false" customHeight="false" outlineLevel="0" collapsed="false">
      <c r="A1" s="1" t="s">
        <v>280</v>
      </c>
    </row>
    <row r="2" customFormat="false" ht="15" hidden="false" customHeight="false" outlineLevel="0" collapsed="false">
      <c r="A2" s="2" t="s">
        <v>281</v>
      </c>
    </row>
    <row r="4" customFormat="false" ht="33.75" hidden="false" customHeight="true" outlineLevel="0" collapsed="false">
      <c r="A4" s="8" t="s">
        <v>68</v>
      </c>
      <c r="B4" s="8" t="s">
        <v>69</v>
      </c>
      <c r="C4" s="8" t="s">
        <v>254</v>
      </c>
      <c r="D4" s="8" t="s">
        <v>282</v>
      </c>
      <c r="E4" s="8" t="s">
        <v>283</v>
      </c>
      <c r="F4" s="8" t="s">
        <v>284</v>
      </c>
      <c r="G4" s="8" t="s">
        <v>285</v>
      </c>
      <c r="H4" s="8" t="s">
        <v>275</v>
      </c>
      <c r="I4" s="8" t="s">
        <v>106</v>
      </c>
      <c r="J4" s="8" t="s">
        <v>286</v>
      </c>
      <c r="K4" s="8" t="s">
        <v>277</v>
      </c>
      <c r="L4" s="8" t="s">
        <v>287</v>
      </c>
      <c r="M4" s="8" t="s">
        <v>288</v>
      </c>
      <c r="N4" s="8" t="s">
        <v>289</v>
      </c>
      <c r="O4" s="8" t="s">
        <v>290</v>
      </c>
    </row>
    <row r="5" customFormat="false" ht="15" hidden="false" customHeight="false" outlineLevel="0" collapsed="false">
      <c r="A5" s="10" t="n">
        <v>1</v>
      </c>
      <c r="B5" s="11" t="n">
        <f aca="false">Plan_12sem!B5</f>
        <v>46307</v>
      </c>
      <c r="C5" s="14" t="n">
        <f aca="false">Plan_12sem!J5</f>
        <v>1660</v>
      </c>
      <c r="D5" s="10" t="n">
        <f aca="false">SUMPRODUCT(--(COUNTIFS(Registro!$A$6:$A$1005,$A5,Registro!$B$6:$B$1005,{"Lunes","Martes","Miércoles","Jueves","Viernes","Sábado","Domingo"},Registro!$H$6:$H$1005,"&gt;0")&gt;0))</f>
        <v>0</v>
      </c>
      <c r="E5" s="16" t="n">
        <f aca="false">SUMIFS(Registro!$H$6:$H$1005,Registro!$A$6:$A$1005,$A5)</f>
        <v>0</v>
      </c>
      <c r="F5" s="14" t="str">
        <f aca="false">IF(D5=0,"",E5/D5)</f>
        <v/>
      </c>
      <c r="G5" s="18" t="str">
        <f aca="false">IF(D5=0,"",F5-C5)</f>
        <v/>
      </c>
      <c r="H5" s="26" t="str">
        <f aca="false">IF(D5=0,"",F5/C5)</f>
        <v/>
      </c>
      <c r="I5" s="10" t="str">
        <f aca="false">IF(D5=0,"Sin datos",IF(ABS(H5-1)&lt;=0.05,"Cumple",IF(H5&gt;1.05,"Exceso","Falta")))</f>
        <v>Sin datos</v>
      </c>
      <c r="J5" s="14" t="str">
        <f aca="false">IF(D5=0,"",SUMIFS(Registro!$I$6:$I$1005,Registro!$A$6:$A$1005,$A5)/D5)</f>
        <v/>
      </c>
      <c r="K5" s="10" t="n">
        <f aca="false">Plan_12sem!L5</f>
        <v>103</v>
      </c>
      <c r="L5" s="14" t="str">
        <f aca="false">IF(D5=0,"",MAX(0,K5-J5))</f>
        <v/>
      </c>
      <c r="M5" s="14" t="str">
        <f aca="false">IF(D5=0,"",SUMIFS(Registro!$J$6:$J$1005,Registro!$A$6:$A$1005,$A5)/D5)</f>
        <v/>
      </c>
      <c r="N5" s="14" t="str">
        <f aca="false">IF(D5=0,"",SUMIFS(Registro!$K$6:$K$1005,Registro!$A$6:$A$1005,$A5)/D5)</f>
        <v/>
      </c>
      <c r="O5" s="30" t="str">
        <f aca="false">IF(D5=0,"",C5*D5-E5)</f>
        <v/>
      </c>
    </row>
    <row r="6" customFormat="false" ht="15" hidden="false" customHeight="false" outlineLevel="0" collapsed="false">
      <c r="A6" s="10" t="n">
        <v>2</v>
      </c>
      <c r="B6" s="11" t="n">
        <f aca="false">Plan_12sem!B6</f>
        <v>46314</v>
      </c>
      <c r="C6" s="14" t="n">
        <f aca="false">Plan_12sem!J6</f>
        <v>1600</v>
      </c>
      <c r="D6" s="10" t="n">
        <f aca="false">SUMPRODUCT(--(COUNTIFS(Registro!$A$6:$A$1005,$A6,Registro!$B$6:$B$1005,{"Lunes","Martes","Miércoles","Jueves","Viernes","Sábado","Domingo"},Registro!$H$6:$H$1005,"&gt;0")&gt;0))</f>
        <v>0</v>
      </c>
      <c r="E6" s="16" t="n">
        <f aca="false">SUMIFS(Registro!$H$6:$H$1005,Registro!$A$6:$A$1005,$A6)</f>
        <v>0</v>
      </c>
      <c r="F6" s="14" t="str">
        <f aca="false">IF(D6=0,"",E6/D6)</f>
        <v/>
      </c>
      <c r="G6" s="18" t="str">
        <f aca="false">IF(D6=0,"",F6-C6)</f>
        <v/>
      </c>
      <c r="H6" s="26" t="str">
        <f aca="false">IF(D6=0,"",F6/C6)</f>
        <v/>
      </c>
      <c r="I6" s="10" t="str">
        <f aca="false">IF(D6=0,"Sin datos",IF(ABS(H6-1)&lt;=0.05,"Cumple",IF(H6&gt;1.05,"Exceso","Falta")))</f>
        <v>Sin datos</v>
      </c>
      <c r="J6" s="14" t="str">
        <f aca="false">IF(D6=0,"",SUMIFS(Registro!$I$6:$I$1005,Registro!$A$6:$A$1005,$A6)/D6)</f>
        <v/>
      </c>
      <c r="K6" s="10" t="n">
        <f aca="false">Plan_12sem!L6</f>
        <v>103</v>
      </c>
      <c r="L6" s="14" t="str">
        <f aca="false">IF(D6=0,"",MAX(0,K6-J6))</f>
        <v/>
      </c>
      <c r="M6" s="14" t="str">
        <f aca="false">IF(D6=0,"",SUMIFS(Registro!$J$6:$J$1005,Registro!$A$6:$A$1005,$A6)/D6)</f>
        <v/>
      </c>
      <c r="N6" s="14" t="str">
        <f aca="false">IF(D6=0,"",SUMIFS(Registro!$K$6:$K$1005,Registro!$A$6:$A$1005,$A6)/D6)</f>
        <v/>
      </c>
      <c r="O6" s="30" t="str">
        <f aca="false">IF(D6=0,"",C6*D6-E6)</f>
        <v/>
      </c>
    </row>
    <row r="7" customFormat="false" ht="15" hidden="false" customHeight="false" outlineLevel="0" collapsed="false">
      <c r="A7" s="10" t="n">
        <v>3</v>
      </c>
      <c r="B7" s="11" t="n">
        <f aca="false">Plan_12sem!B7</f>
        <v>46321</v>
      </c>
      <c r="C7" s="14" t="n">
        <f aca="false">Plan_12sem!J7</f>
        <v>1540</v>
      </c>
      <c r="D7" s="10" t="n">
        <f aca="false">SUMPRODUCT(--(COUNTIFS(Registro!$A$6:$A$1005,$A7,Registro!$B$6:$B$1005,{"Lunes","Martes","Miércoles","Jueves","Viernes","Sábado","Domingo"},Registro!$H$6:$H$1005,"&gt;0")&gt;0))</f>
        <v>0</v>
      </c>
      <c r="E7" s="16" t="n">
        <f aca="false">SUMIFS(Registro!$H$6:$H$1005,Registro!$A$6:$A$1005,$A7)</f>
        <v>0</v>
      </c>
      <c r="F7" s="14" t="str">
        <f aca="false">IF(D7=0,"",E7/D7)</f>
        <v/>
      </c>
      <c r="G7" s="18" t="str">
        <f aca="false">IF(D7=0,"",F7-C7)</f>
        <v/>
      </c>
      <c r="H7" s="26" t="str">
        <f aca="false">IF(D7=0,"",F7/C7)</f>
        <v/>
      </c>
      <c r="I7" s="10" t="str">
        <f aca="false">IF(D7=0,"Sin datos",IF(ABS(H7-1)&lt;=0.05,"Cumple",IF(H7&gt;1.05,"Exceso","Falta")))</f>
        <v>Sin datos</v>
      </c>
      <c r="J7" s="14" t="str">
        <f aca="false">IF(D7=0,"",SUMIFS(Registro!$I$6:$I$1005,Registro!$A$6:$A$1005,$A7)/D7)</f>
        <v/>
      </c>
      <c r="K7" s="10" t="n">
        <f aca="false">Plan_12sem!L7</f>
        <v>102</v>
      </c>
      <c r="L7" s="14" t="str">
        <f aca="false">IF(D7=0,"",MAX(0,K7-J7))</f>
        <v/>
      </c>
      <c r="M7" s="14" t="str">
        <f aca="false">IF(D7=0,"",SUMIFS(Registro!$J$6:$J$1005,Registro!$A$6:$A$1005,$A7)/D7)</f>
        <v/>
      </c>
      <c r="N7" s="14" t="str">
        <f aca="false">IF(D7=0,"",SUMIFS(Registro!$K$6:$K$1005,Registro!$A$6:$A$1005,$A7)/D7)</f>
        <v/>
      </c>
      <c r="O7" s="30" t="str">
        <f aca="false">IF(D7=0,"",C7*D7-E7)</f>
        <v/>
      </c>
    </row>
    <row r="8" customFormat="false" ht="15" hidden="false" customHeight="false" outlineLevel="0" collapsed="false">
      <c r="A8" s="10" t="n">
        <v>4</v>
      </c>
      <c r="B8" s="11" t="n">
        <f aca="false">Plan_12sem!B8</f>
        <v>46328</v>
      </c>
      <c r="C8" s="14" t="n">
        <f aca="false">Plan_12sem!J8</f>
        <v>1540</v>
      </c>
      <c r="D8" s="10" t="n">
        <f aca="false">SUMPRODUCT(--(COUNTIFS(Registro!$A$6:$A$1005,$A8,Registro!$B$6:$B$1005,{"Lunes","Martes","Miércoles","Jueves","Viernes","Sábado","Domingo"},Registro!$H$6:$H$1005,"&gt;0")&gt;0))</f>
        <v>0</v>
      </c>
      <c r="E8" s="16" t="n">
        <f aca="false">SUMIFS(Registro!$H$6:$H$1005,Registro!$A$6:$A$1005,$A8)</f>
        <v>0</v>
      </c>
      <c r="F8" s="14" t="str">
        <f aca="false">IF(D8=0,"",E8/D8)</f>
        <v/>
      </c>
      <c r="G8" s="18" t="str">
        <f aca="false">IF(D8=0,"",F8-C8)</f>
        <v/>
      </c>
      <c r="H8" s="26" t="str">
        <f aca="false">IF(D8=0,"",F8/C8)</f>
        <v/>
      </c>
      <c r="I8" s="10" t="str">
        <f aca="false">IF(D8=0,"Sin datos",IF(ABS(H8-1)&lt;=0.05,"Cumple",IF(H8&gt;1.05,"Exceso","Falta")))</f>
        <v>Sin datos</v>
      </c>
      <c r="J8" s="14" t="str">
        <f aca="false">IF(D8=0,"",SUMIFS(Registro!$I$6:$I$1005,Registro!$A$6:$A$1005,$A8)/D8)</f>
        <v/>
      </c>
      <c r="K8" s="10" t="n">
        <f aca="false">Plan_12sem!L8</f>
        <v>102</v>
      </c>
      <c r="L8" s="14" t="str">
        <f aca="false">IF(D8=0,"",MAX(0,K8-J8))</f>
        <v/>
      </c>
      <c r="M8" s="14" t="str">
        <f aca="false">IF(D8=0,"",SUMIFS(Registro!$J$6:$J$1005,Registro!$A$6:$A$1005,$A8)/D8)</f>
        <v/>
      </c>
      <c r="N8" s="14" t="str">
        <f aca="false">IF(D8=0,"",SUMIFS(Registro!$K$6:$K$1005,Registro!$A$6:$A$1005,$A8)/D8)</f>
        <v/>
      </c>
      <c r="O8" s="30" t="str">
        <f aca="false">IF(D8=0,"",C8*D8-E8)</f>
        <v/>
      </c>
    </row>
    <row r="9" customFormat="false" ht="15" hidden="false" customHeight="false" outlineLevel="0" collapsed="false">
      <c r="A9" s="10" t="n">
        <v>5</v>
      </c>
      <c r="B9" s="11" t="n">
        <f aca="false">Plan_12sem!B9</f>
        <v>46335</v>
      </c>
      <c r="C9" s="14" t="n">
        <f aca="false">Plan_12sem!J9</f>
        <v>1530</v>
      </c>
      <c r="D9" s="10" t="n">
        <f aca="false">SUMPRODUCT(--(COUNTIFS(Registro!$A$6:$A$1005,$A9,Registro!$B$6:$B$1005,{"Lunes","Martes","Miércoles","Jueves","Viernes","Sábado","Domingo"},Registro!$H$6:$H$1005,"&gt;0")&gt;0))</f>
        <v>0</v>
      </c>
      <c r="E9" s="16" t="n">
        <f aca="false">SUMIFS(Registro!$H$6:$H$1005,Registro!$A$6:$A$1005,$A9)</f>
        <v>0</v>
      </c>
      <c r="F9" s="14" t="str">
        <f aca="false">IF(D9=0,"",E9/D9)</f>
        <v/>
      </c>
      <c r="G9" s="18" t="str">
        <f aca="false">IF(D9=0,"",F9-C9)</f>
        <v/>
      </c>
      <c r="H9" s="26" t="str">
        <f aca="false">IF(D9=0,"",F9/C9)</f>
        <v/>
      </c>
      <c r="I9" s="10" t="str">
        <f aca="false">IF(D9=0,"Sin datos",IF(ABS(H9-1)&lt;=0.05,"Cumple",IF(H9&gt;1.05,"Exceso","Falta")))</f>
        <v>Sin datos</v>
      </c>
      <c r="J9" s="14" t="str">
        <f aca="false">IF(D9=0,"",SUMIFS(Registro!$I$6:$I$1005,Registro!$A$6:$A$1005,$A9)/D9)</f>
        <v/>
      </c>
      <c r="K9" s="10" t="n">
        <f aca="false">Plan_12sem!L9</f>
        <v>102</v>
      </c>
      <c r="L9" s="14" t="str">
        <f aca="false">IF(D9=0,"",MAX(0,K9-J9))</f>
        <v/>
      </c>
      <c r="M9" s="14" t="str">
        <f aca="false">IF(D9=0,"",SUMIFS(Registro!$J$6:$J$1005,Registro!$A$6:$A$1005,$A9)/D9)</f>
        <v/>
      </c>
      <c r="N9" s="14" t="str">
        <f aca="false">IF(D9=0,"",SUMIFS(Registro!$K$6:$K$1005,Registro!$A$6:$A$1005,$A9)/D9)</f>
        <v/>
      </c>
      <c r="O9" s="30" t="str">
        <f aca="false">IF(D9=0,"",C9*D9-E9)</f>
        <v/>
      </c>
    </row>
    <row r="10" customFormat="false" ht="15" hidden="false" customHeight="false" outlineLevel="0" collapsed="false">
      <c r="A10" s="10" t="n">
        <v>6</v>
      </c>
      <c r="B10" s="11" t="n">
        <f aca="false">Plan_12sem!B10</f>
        <v>46342</v>
      </c>
      <c r="C10" s="14" t="n">
        <f aca="false">Plan_12sem!J10</f>
        <v>1530</v>
      </c>
      <c r="D10" s="10" t="n">
        <f aca="false">SUMPRODUCT(--(COUNTIFS(Registro!$A$6:$A$1005,$A10,Registro!$B$6:$B$1005,{"Lunes","Martes","Miércoles","Jueves","Viernes","Sábado","Domingo"},Registro!$H$6:$H$1005,"&gt;0")&gt;0))</f>
        <v>0</v>
      </c>
      <c r="E10" s="16" t="n">
        <f aca="false">SUMIFS(Registro!$H$6:$H$1005,Registro!$A$6:$A$1005,$A10)</f>
        <v>0</v>
      </c>
      <c r="F10" s="14" t="str">
        <f aca="false">IF(D10=0,"",E10/D10)</f>
        <v/>
      </c>
      <c r="G10" s="18" t="str">
        <f aca="false">IF(D10=0,"",F10-C10)</f>
        <v/>
      </c>
      <c r="H10" s="26" t="str">
        <f aca="false">IF(D10=0,"",F10/C10)</f>
        <v/>
      </c>
      <c r="I10" s="10" t="str">
        <f aca="false">IF(D10=0,"Sin datos",IF(ABS(H10-1)&lt;=0.05,"Cumple",IF(H10&gt;1.05,"Exceso","Falta")))</f>
        <v>Sin datos</v>
      </c>
      <c r="J10" s="14" t="str">
        <f aca="false">IF(D10=0,"",SUMIFS(Registro!$I$6:$I$1005,Registro!$A$6:$A$1005,$A10)/D10)</f>
        <v/>
      </c>
      <c r="K10" s="10" t="n">
        <f aca="false">Plan_12sem!L10</f>
        <v>101</v>
      </c>
      <c r="L10" s="14" t="str">
        <f aca="false">IF(D10=0,"",MAX(0,K10-J10))</f>
        <v/>
      </c>
      <c r="M10" s="14" t="str">
        <f aca="false">IF(D10=0,"",SUMIFS(Registro!$J$6:$J$1005,Registro!$A$6:$A$1005,$A10)/D10)</f>
        <v/>
      </c>
      <c r="N10" s="14" t="str">
        <f aca="false">IF(D10=0,"",SUMIFS(Registro!$K$6:$K$1005,Registro!$A$6:$A$1005,$A10)/D10)</f>
        <v/>
      </c>
      <c r="O10" s="30" t="str">
        <f aca="false">IF(D10=0,"",C10*D10-E10)</f>
        <v/>
      </c>
    </row>
    <row r="11" customFormat="false" ht="15" hidden="false" customHeight="false" outlineLevel="0" collapsed="false">
      <c r="A11" s="10" t="n">
        <v>7</v>
      </c>
      <c r="B11" s="11" t="n">
        <f aca="false">Plan_12sem!B11</f>
        <v>46349</v>
      </c>
      <c r="C11" s="14" t="n">
        <f aca="false">Plan_12sem!J11</f>
        <v>1520</v>
      </c>
      <c r="D11" s="10" t="n">
        <f aca="false">SUMPRODUCT(--(COUNTIFS(Registro!$A$6:$A$1005,$A11,Registro!$B$6:$B$1005,{"Lunes","Martes","Miércoles","Jueves","Viernes","Sábado","Domingo"},Registro!$H$6:$H$1005,"&gt;0")&gt;0))</f>
        <v>0</v>
      </c>
      <c r="E11" s="16" t="n">
        <f aca="false">SUMIFS(Registro!$H$6:$H$1005,Registro!$A$6:$A$1005,$A11)</f>
        <v>0</v>
      </c>
      <c r="F11" s="14" t="str">
        <f aca="false">IF(D11=0,"",E11/D11)</f>
        <v/>
      </c>
      <c r="G11" s="18" t="str">
        <f aca="false">IF(D11=0,"",F11-C11)</f>
        <v/>
      </c>
      <c r="H11" s="26" t="str">
        <f aca="false">IF(D11=0,"",F11/C11)</f>
        <v/>
      </c>
      <c r="I11" s="10" t="str">
        <f aca="false">IF(D11=0,"Sin datos",IF(ABS(H11-1)&lt;=0.05,"Cumple",IF(H11&gt;1.05,"Exceso","Falta")))</f>
        <v>Sin datos</v>
      </c>
      <c r="J11" s="14" t="str">
        <f aca="false">IF(D11=0,"",SUMIFS(Registro!$I$6:$I$1005,Registro!$A$6:$A$1005,$A11)/D11)</f>
        <v/>
      </c>
      <c r="K11" s="10" t="n">
        <f aca="false">Plan_12sem!L11</f>
        <v>101</v>
      </c>
      <c r="L11" s="14" t="str">
        <f aca="false">IF(D11=0,"",MAX(0,K11-J11))</f>
        <v/>
      </c>
      <c r="M11" s="14" t="str">
        <f aca="false">IF(D11=0,"",SUMIFS(Registro!$J$6:$J$1005,Registro!$A$6:$A$1005,$A11)/D11)</f>
        <v/>
      </c>
      <c r="N11" s="14" t="str">
        <f aca="false">IF(D11=0,"",SUMIFS(Registro!$K$6:$K$1005,Registro!$A$6:$A$1005,$A11)/D11)</f>
        <v/>
      </c>
      <c r="O11" s="30" t="str">
        <f aca="false">IF(D11=0,"",C11*D11-E11)</f>
        <v/>
      </c>
    </row>
    <row r="12" customFormat="false" ht="15" hidden="false" customHeight="false" outlineLevel="0" collapsed="false">
      <c r="A12" s="10" t="n">
        <v>8</v>
      </c>
      <c r="B12" s="11" t="n">
        <f aca="false">Plan_12sem!B12</f>
        <v>46356</v>
      </c>
      <c r="C12" s="14" t="n">
        <f aca="false">Plan_12sem!J12</f>
        <v>1520</v>
      </c>
      <c r="D12" s="10" t="n">
        <f aca="false">SUMPRODUCT(--(COUNTIFS(Registro!$A$6:$A$1005,$A12,Registro!$B$6:$B$1005,{"Lunes","Martes","Miércoles","Jueves","Viernes","Sábado","Domingo"},Registro!$H$6:$H$1005,"&gt;0")&gt;0))</f>
        <v>0</v>
      </c>
      <c r="E12" s="16" t="n">
        <f aca="false">SUMIFS(Registro!$H$6:$H$1005,Registro!$A$6:$A$1005,$A12)</f>
        <v>0</v>
      </c>
      <c r="F12" s="14" t="str">
        <f aca="false">IF(D12=0,"",E12/D12)</f>
        <v/>
      </c>
      <c r="G12" s="18" t="str">
        <f aca="false">IF(D12=0,"",F12-C12)</f>
        <v/>
      </c>
      <c r="H12" s="26" t="str">
        <f aca="false">IF(D12=0,"",F12/C12)</f>
        <v/>
      </c>
      <c r="I12" s="10" t="str">
        <f aca="false">IF(D12=0,"Sin datos",IF(ABS(H12-1)&lt;=0.05,"Cumple",IF(H12&gt;1.05,"Exceso","Falta")))</f>
        <v>Sin datos</v>
      </c>
      <c r="J12" s="14" t="str">
        <f aca="false">IF(D12=0,"",SUMIFS(Registro!$I$6:$I$1005,Registro!$A$6:$A$1005,$A12)/D12)</f>
        <v/>
      </c>
      <c r="K12" s="10" t="n">
        <f aca="false">Plan_12sem!L12</f>
        <v>100</v>
      </c>
      <c r="L12" s="14" t="str">
        <f aca="false">IF(D12=0,"",MAX(0,K12-J12))</f>
        <v/>
      </c>
      <c r="M12" s="14" t="str">
        <f aca="false">IF(D12=0,"",SUMIFS(Registro!$J$6:$J$1005,Registro!$A$6:$A$1005,$A12)/D12)</f>
        <v/>
      </c>
      <c r="N12" s="14" t="str">
        <f aca="false">IF(D12=0,"",SUMIFS(Registro!$K$6:$K$1005,Registro!$A$6:$A$1005,$A12)/D12)</f>
        <v/>
      </c>
      <c r="O12" s="30" t="str">
        <f aca="false">IF(D12=0,"",C12*D12-E12)</f>
        <v/>
      </c>
    </row>
    <row r="13" customFormat="false" ht="15" hidden="false" customHeight="false" outlineLevel="0" collapsed="false">
      <c r="A13" s="10" t="n">
        <v>9</v>
      </c>
      <c r="B13" s="11" t="n">
        <f aca="false">Plan_12sem!B13</f>
        <v>46363</v>
      </c>
      <c r="C13" s="14" t="n">
        <f aca="false">Plan_12sem!J13</f>
        <v>1520</v>
      </c>
      <c r="D13" s="10" t="n">
        <f aca="false">SUMPRODUCT(--(COUNTIFS(Registro!$A$6:$A$1005,$A13,Registro!$B$6:$B$1005,{"Lunes","Martes","Miércoles","Jueves","Viernes","Sábado","Domingo"},Registro!$H$6:$H$1005,"&gt;0")&gt;0))</f>
        <v>0</v>
      </c>
      <c r="E13" s="16" t="n">
        <f aca="false">SUMIFS(Registro!$H$6:$H$1005,Registro!$A$6:$A$1005,$A13)</f>
        <v>0</v>
      </c>
      <c r="F13" s="14" t="str">
        <f aca="false">IF(D13=0,"",E13/D13)</f>
        <v/>
      </c>
      <c r="G13" s="18" t="str">
        <f aca="false">IF(D13=0,"",F13-C13)</f>
        <v/>
      </c>
      <c r="H13" s="26" t="str">
        <f aca="false">IF(D13=0,"",F13/C13)</f>
        <v/>
      </c>
      <c r="I13" s="10" t="str">
        <f aca="false">IF(D13=0,"Sin datos",IF(ABS(H13-1)&lt;=0.05,"Cumple",IF(H13&gt;1.05,"Exceso","Falta")))</f>
        <v>Sin datos</v>
      </c>
      <c r="J13" s="14" t="str">
        <f aca="false">IF(D13=0,"",SUMIFS(Registro!$I$6:$I$1005,Registro!$A$6:$A$1005,$A13)/D13)</f>
        <v/>
      </c>
      <c r="K13" s="10" t="n">
        <f aca="false">Plan_12sem!L13</f>
        <v>100</v>
      </c>
      <c r="L13" s="14" t="str">
        <f aca="false">IF(D13=0,"",MAX(0,K13-J13))</f>
        <v/>
      </c>
      <c r="M13" s="14" t="str">
        <f aca="false">IF(D13=0,"",SUMIFS(Registro!$J$6:$J$1005,Registro!$A$6:$A$1005,$A13)/D13)</f>
        <v/>
      </c>
      <c r="N13" s="14" t="str">
        <f aca="false">IF(D13=0,"",SUMIFS(Registro!$K$6:$K$1005,Registro!$A$6:$A$1005,$A13)/D13)</f>
        <v/>
      </c>
      <c r="O13" s="30" t="str">
        <f aca="false">IF(D13=0,"",C13*D13-E13)</f>
        <v/>
      </c>
    </row>
    <row r="14" customFormat="false" ht="15" hidden="false" customHeight="false" outlineLevel="0" collapsed="false">
      <c r="A14" s="10" t="n">
        <v>10</v>
      </c>
      <c r="B14" s="11" t="n">
        <f aca="false">Plan_12sem!B14</f>
        <v>46370</v>
      </c>
      <c r="C14" s="14" t="n">
        <f aca="false">Plan_12sem!J14</f>
        <v>1510</v>
      </c>
      <c r="D14" s="10" t="n">
        <f aca="false">SUMPRODUCT(--(COUNTIFS(Registro!$A$6:$A$1005,$A14,Registro!$B$6:$B$1005,{"Lunes","Martes","Miércoles","Jueves","Viernes","Sábado","Domingo"},Registro!$H$6:$H$1005,"&gt;0")&gt;0))</f>
        <v>0</v>
      </c>
      <c r="E14" s="16" t="n">
        <f aca="false">SUMIFS(Registro!$H$6:$H$1005,Registro!$A$6:$A$1005,$A14)</f>
        <v>0</v>
      </c>
      <c r="F14" s="14" t="str">
        <f aca="false">IF(D14=0,"",E14/D14)</f>
        <v/>
      </c>
      <c r="G14" s="18" t="str">
        <f aca="false">IF(D14=0,"",F14-C14)</f>
        <v/>
      </c>
      <c r="H14" s="26" t="str">
        <f aca="false">IF(D14=0,"",F14/C14)</f>
        <v/>
      </c>
      <c r="I14" s="10" t="str">
        <f aca="false">IF(D14=0,"Sin datos",IF(ABS(H14-1)&lt;=0.05,"Cumple",IF(H14&gt;1.05,"Exceso","Falta")))</f>
        <v>Sin datos</v>
      </c>
      <c r="J14" s="14" t="str">
        <f aca="false">IF(D14=0,"",SUMIFS(Registro!$I$6:$I$1005,Registro!$A$6:$A$1005,$A14)/D14)</f>
        <v/>
      </c>
      <c r="K14" s="10" t="n">
        <f aca="false">Plan_12sem!L14</f>
        <v>99</v>
      </c>
      <c r="L14" s="14" t="str">
        <f aca="false">IF(D14=0,"",MAX(0,K14-J14))</f>
        <v/>
      </c>
      <c r="M14" s="14" t="str">
        <f aca="false">IF(D14=0,"",SUMIFS(Registro!$J$6:$J$1005,Registro!$A$6:$A$1005,$A14)/D14)</f>
        <v/>
      </c>
      <c r="N14" s="14" t="str">
        <f aca="false">IF(D14=0,"",SUMIFS(Registro!$K$6:$K$1005,Registro!$A$6:$A$1005,$A14)/D14)</f>
        <v/>
      </c>
      <c r="O14" s="30" t="str">
        <f aca="false">IF(D14=0,"",C14*D14-E14)</f>
        <v/>
      </c>
    </row>
    <row r="15" customFormat="false" ht="15" hidden="false" customHeight="false" outlineLevel="0" collapsed="false">
      <c r="A15" s="10" t="n">
        <v>11</v>
      </c>
      <c r="B15" s="11" t="n">
        <f aca="false">Plan_12sem!B15</f>
        <v>46377</v>
      </c>
      <c r="C15" s="14" t="n">
        <f aca="false">Plan_12sem!J15</f>
        <v>1510</v>
      </c>
      <c r="D15" s="10" t="n">
        <f aca="false">SUMPRODUCT(--(COUNTIFS(Registro!$A$6:$A$1005,$A15,Registro!$B$6:$B$1005,{"Lunes","Martes","Miércoles","Jueves","Viernes","Sábado","Domingo"},Registro!$H$6:$H$1005,"&gt;0")&gt;0))</f>
        <v>0</v>
      </c>
      <c r="E15" s="16" t="n">
        <f aca="false">SUMIFS(Registro!$H$6:$H$1005,Registro!$A$6:$A$1005,$A15)</f>
        <v>0</v>
      </c>
      <c r="F15" s="14" t="str">
        <f aca="false">IF(D15=0,"",E15/D15)</f>
        <v/>
      </c>
      <c r="G15" s="18" t="str">
        <f aca="false">IF(D15=0,"",F15-C15)</f>
        <v/>
      </c>
      <c r="H15" s="26" t="str">
        <f aca="false">IF(D15=0,"",F15/C15)</f>
        <v/>
      </c>
      <c r="I15" s="10" t="str">
        <f aca="false">IF(D15=0,"Sin datos",IF(ABS(H15-1)&lt;=0.05,"Cumple",IF(H15&gt;1.05,"Exceso","Falta")))</f>
        <v>Sin datos</v>
      </c>
      <c r="J15" s="14" t="str">
        <f aca="false">IF(D15=0,"",SUMIFS(Registro!$I$6:$I$1005,Registro!$A$6:$A$1005,$A15)/D15)</f>
        <v/>
      </c>
      <c r="K15" s="10" t="n">
        <f aca="false">Plan_12sem!L15</f>
        <v>99</v>
      </c>
      <c r="L15" s="14" t="str">
        <f aca="false">IF(D15=0,"",MAX(0,K15-J15))</f>
        <v/>
      </c>
      <c r="M15" s="14" t="str">
        <f aca="false">IF(D15=0,"",SUMIFS(Registro!$J$6:$J$1005,Registro!$A$6:$A$1005,$A15)/D15)</f>
        <v/>
      </c>
      <c r="N15" s="14" t="str">
        <f aca="false">IF(D15=0,"",SUMIFS(Registro!$K$6:$K$1005,Registro!$A$6:$A$1005,$A15)/D15)</f>
        <v/>
      </c>
      <c r="O15" s="30" t="str">
        <f aca="false">IF(D15=0,"",C15*D15-E15)</f>
        <v/>
      </c>
    </row>
    <row r="16" customFormat="false" ht="15" hidden="false" customHeight="false" outlineLevel="0" collapsed="false">
      <c r="A16" s="10" t="n">
        <v>12</v>
      </c>
      <c r="B16" s="11" t="n">
        <f aca="false">Plan_12sem!B16</f>
        <v>46384</v>
      </c>
      <c r="C16" s="14" t="n">
        <f aca="false">Plan_12sem!J16</f>
        <v>1500</v>
      </c>
      <c r="D16" s="10" t="n">
        <f aca="false">SUMPRODUCT(--(COUNTIFS(Registro!$A$6:$A$1005,$A16,Registro!$B$6:$B$1005,{"Lunes","Martes","Miércoles","Jueves","Viernes","Sábado","Domingo"},Registro!$H$6:$H$1005,"&gt;0")&gt;0))</f>
        <v>0</v>
      </c>
      <c r="E16" s="16" t="n">
        <f aca="false">SUMIFS(Registro!$H$6:$H$1005,Registro!$A$6:$A$1005,$A16)</f>
        <v>0</v>
      </c>
      <c r="F16" s="14" t="str">
        <f aca="false">IF(D16=0,"",E16/D16)</f>
        <v/>
      </c>
      <c r="G16" s="18" t="str">
        <f aca="false">IF(D16=0,"",F16-C16)</f>
        <v/>
      </c>
      <c r="H16" s="26" t="str">
        <f aca="false">IF(D16=0,"",F16/C16)</f>
        <v/>
      </c>
      <c r="I16" s="10" t="str">
        <f aca="false">IF(D16=0,"Sin datos",IF(ABS(H16-1)&lt;=0.05,"Cumple",IF(H16&gt;1.05,"Exceso","Falta")))</f>
        <v>Sin datos</v>
      </c>
      <c r="J16" s="14" t="str">
        <f aca="false">IF(D16=0,"",SUMIFS(Registro!$I$6:$I$1005,Registro!$A$6:$A$1005,$A16)/D16)</f>
        <v/>
      </c>
      <c r="K16" s="10" t="n">
        <f aca="false">Plan_12sem!L16</f>
        <v>98</v>
      </c>
      <c r="L16" s="14" t="str">
        <f aca="false">IF(D16=0,"",MAX(0,K16-J16))</f>
        <v/>
      </c>
      <c r="M16" s="14" t="str">
        <f aca="false">IF(D16=0,"",SUMIFS(Registro!$J$6:$J$1005,Registro!$A$6:$A$1005,$A16)/D16)</f>
        <v/>
      </c>
      <c r="N16" s="14" t="str">
        <f aca="false">IF(D16=0,"",SUMIFS(Registro!$K$6:$K$1005,Registro!$A$6:$A$1005,$A16)/D16)</f>
        <v/>
      </c>
      <c r="O16" s="30" t="str">
        <f aca="false">IF(D16=0,"",C16*D16-E16)</f>
        <v/>
      </c>
    </row>
    <row r="18" customFormat="false" ht="15" hidden="false" customHeight="false" outlineLevel="0" collapsed="false">
      <c r="A18" s="19" t="s">
        <v>291</v>
      </c>
    </row>
  </sheetData>
  <conditionalFormatting sqref="I5:I16">
    <cfRule type="cellIs" priority="2" operator="equal" aboveAverage="0" equalAverage="0" bottom="0" percent="0" rank="0" text="" dxfId="7">
      <formula>"Cumple"</formula>
    </cfRule>
    <cfRule type="cellIs" priority="3" operator="equal" aboveAverage="0" equalAverage="0" bottom="0" percent="0" rank="0" text="" dxfId="0">
      <formula>"Exceso"</formula>
    </cfRule>
    <cfRule type="cellIs" priority="4" operator="equal" aboveAverage="0" equalAverage="0" bottom="0" percent="0" rank="0" text="" dxfId="8">
      <formula>"Falta"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18.55" hidden="false" customHeight="false" outlineLevel="0" collapsed="false">
      <c r="A1" s="1" t="s">
        <v>292</v>
      </c>
    </row>
    <row r="2" customFormat="false" ht="15" hidden="false" customHeight="false" outlineLevel="0" collapsed="false">
      <c r="A2" s="2" t="s">
        <v>293</v>
      </c>
    </row>
    <row r="4" customFormat="false" ht="33.75" hidden="false" customHeight="true" outlineLevel="0" collapsed="false">
      <c r="A4" s="8" t="s">
        <v>264</v>
      </c>
      <c r="B4" s="8" t="s">
        <v>266</v>
      </c>
      <c r="C4" s="8" t="s">
        <v>294</v>
      </c>
      <c r="D4" s="8" t="s">
        <v>295</v>
      </c>
      <c r="E4" s="8" t="s">
        <v>296</v>
      </c>
      <c r="F4" s="8" t="s">
        <v>297</v>
      </c>
      <c r="G4" s="8" t="s">
        <v>106</v>
      </c>
      <c r="H4" s="8" t="s">
        <v>298</v>
      </c>
      <c r="I4" s="8" t="s">
        <v>93</v>
      </c>
    </row>
    <row r="5" customFormat="false" ht="15" hidden="false" customHeight="false" outlineLevel="0" collapsed="false">
      <c r="A5" s="10" t="n">
        <v>0</v>
      </c>
      <c r="B5" s="11" t="n">
        <f aca="false">Perfil!$C$13</f>
        <v>46307</v>
      </c>
      <c r="C5" s="13" t="n">
        <f aca="false">Perfil!C7</f>
        <v>64.5</v>
      </c>
      <c r="D5" s="31" t="n">
        <v>64.5</v>
      </c>
      <c r="E5" s="32" t="n">
        <f aca="false">IF(D5="","",D5-C5)</f>
        <v>0</v>
      </c>
      <c r="F5" s="32"/>
      <c r="G5" s="10"/>
      <c r="H5" s="6"/>
      <c r="I5" s="6"/>
    </row>
    <row r="6" customFormat="false" ht="15" hidden="false" customHeight="false" outlineLevel="0" collapsed="false">
      <c r="A6" s="10" t="n">
        <v>1</v>
      </c>
      <c r="B6" s="11" t="n">
        <f aca="false">Perfil!$C$13+1*7-1</f>
        <v>46313</v>
      </c>
      <c r="C6" s="13" t="n">
        <f aca="false">Plan_12sem!D5</f>
        <v>64.3</v>
      </c>
      <c r="D6" s="31"/>
      <c r="E6" s="32" t="str">
        <f aca="false">IF(D6="","",D6-C6)</f>
        <v/>
      </c>
      <c r="F6" s="32" t="str">
        <f aca="false">IF(OR(D6="",D5=""),"",D6-D5)</f>
        <v/>
      </c>
      <c r="G6" s="10" t="str">
        <f aca="false">IF(D6="","",IF(D6&lt;=C6+0.2,"En ruta",IF(D6&lt;=C6+0.4,"Vigilar","Revisar")))</f>
        <v/>
      </c>
      <c r="H6" s="6"/>
      <c r="I6" s="6"/>
    </row>
    <row r="7" customFormat="false" ht="15" hidden="false" customHeight="false" outlineLevel="0" collapsed="false">
      <c r="A7" s="10" t="n">
        <v>2</v>
      </c>
      <c r="B7" s="11" t="n">
        <f aca="false">Perfil!$C$13+2*7-1</f>
        <v>46320</v>
      </c>
      <c r="C7" s="13" t="n">
        <f aca="false">Plan_12sem!D6</f>
        <v>64.05</v>
      </c>
      <c r="D7" s="31"/>
      <c r="E7" s="32" t="str">
        <f aca="false">IF(D7="","",D7-C7)</f>
        <v/>
      </c>
      <c r="F7" s="32" t="str">
        <f aca="false">IF(OR(D7="",D6=""),"",D7-D6)</f>
        <v/>
      </c>
      <c r="G7" s="10" t="str">
        <f aca="false">IF(D7="","",IF(D7&lt;=C7+0.2,"En ruta",IF(D7&lt;=C7+0.4,"Vigilar","Revisar")))</f>
        <v/>
      </c>
      <c r="H7" s="6"/>
      <c r="I7" s="6"/>
    </row>
    <row r="8" customFormat="false" ht="15" hidden="false" customHeight="false" outlineLevel="0" collapsed="false">
      <c r="A8" s="10" t="n">
        <v>3</v>
      </c>
      <c r="B8" s="11" t="n">
        <f aca="false">Perfil!$C$13+3*7-1</f>
        <v>46327</v>
      </c>
      <c r="C8" s="13" t="n">
        <f aca="false">Plan_12sem!D7</f>
        <v>63.75</v>
      </c>
      <c r="D8" s="31"/>
      <c r="E8" s="32" t="str">
        <f aca="false">IF(D8="","",D8-C8)</f>
        <v/>
      </c>
      <c r="F8" s="32" t="str">
        <f aca="false">IF(OR(D8="",D7=""),"",D8-D7)</f>
        <v/>
      </c>
      <c r="G8" s="10" t="str">
        <f aca="false">IF(D8="","",IF(D8&lt;=C8+0.2,"En ruta",IF(D8&lt;=C8+0.4,"Vigilar","Revisar")))</f>
        <v/>
      </c>
      <c r="H8" s="6"/>
      <c r="I8" s="6"/>
    </row>
    <row r="9" customFormat="false" ht="15" hidden="false" customHeight="false" outlineLevel="0" collapsed="false">
      <c r="A9" s="10" t="n">
        <v>4</v>
      </c>
      <c r="B9" s="11" t="n">
        <f aca="false">Perfil!$C$13+4*7-1</f>
        <v>46334</v>
      </c>
      <c r="C9" s="13" t="n">
        <f aca="false">Plan_12sem!D8</f>
        <v>63.45</v>
      </c>
      <c r="D9" s="31"/>
      <c r="E9" s="32" t="str">
        <f aca="false">IF(D9="","",D9-C9)</f>
        <v/>
      </c>
      <c r="F9" s="32" t="str">
        <f aca="false">IF(OR(D9="",D8=""),"",D9-D8)</f>
        <v/>
      </c>
      <c r="G9" s="10" t="str">
        <f aca="false">IF(D9="","",IF(D9&lt;=C9+0.2,"En ruta",IF(D9&lt;=C9+0.4,"Vigilar","Revisar")))</f>
        <v/>
      </c>
      <c r="H9" s="6"/>
      <c r="I9" s="6"/>
    </row>
    <row r="10" customFormat="false" ht="15" hidden="false" customHeight="false" outlineLevel="0" collapsed="false">
      <c r="A10" s="10" t="n">
        <v>5</v>
      </c>
      <c r="B10" s="11" t="n">
        <f aca="false">Perfil!$C$13+5*7-1</f>
        <v>46341</v>
      </c>
      <c r="C10" s="13" t="n">
        <f aca="false">Plan_12sem!D9</f>
        <v>63.15</v>
      </c>
      <c r="D10" s="31"/>
      <c r="E10" s="32" t="str">
        <f aca="false">IF(D10="","",D10-C10)</f>
        <v/>
      </c>
      <c r="F10" s="32" t="str">
        <f aca="false">IF(OR(D10="",D9=""),"",D10-D9)</f>
        <v/>
      </c>
      <c r="G10" s="10" t="str">
        <f aca="false">IF(D10="","",IF(D10&lt;=C10+0.2,"En ruta",IF(D10&lt;=C10+0.4,"Vigilar","Revisar")))</f>
        <v/>
      </c>
      <c r="H10" s="6"/>
      <c r="I10" s="6"/>
    </row>
    <row r="11" customFormat="false" ht="15" hidden="false" customHeight="false" outlineLevel="0" collapsed="false">
      <c r="A11" s="10" t="n">
        <v>6</v>
      </c>
      <c r="B11" s="11" t="n">
        <f aca="false">Perfil!$C$13+6*7-1</f>
        <v>46348</v>
      </c>
      <c r="C11" s="13" t="n">
        <f aca="false">Plan_12sem!D10</f>
        <v>62.85</v>
      </c>
      <c r="D11" s="31"/>
      <c r="E11" s="32" t="str">
        <f aca="false">IF(D11="","",D11-C11)</f>
        <v/>
      </c>
      <c r="F11" s="32" t="str">
        <f aca="false">IF(OR(D11="",D10=""),"",D11-D10)</f>
        <v/>
      </c>
      <c r="G11" s="10" t="str">
        <f aca="false">IF(D11="","",IF(D11&lt;=C11+0.2,"En ruta",IF(D11&lt;=C11+0.4,"Vigilar","Revisar")))</f>
        <v/>
      </c>
      <c r="H11" s="6"/>
      <c r="I11" s="6"/>
    </row>
    <row r="12" customFormat="false" ht="15" hidden="false" customHeight="false" outlineLevel="0" collapsed="false">
      <c r="A12" s="10" t="n">
        <v>7</v>
      </c>
      <c r="B12" s="11" t="n">
        <f aca="false">Perfil!$C$13+7*7-1</f>
        <v>46355</v>
      </c>
      <c r="C12" s="13" t="n">
        <f aca="false">Plan_12sem!D11</f>
        <v>62.55</v>
      </c>
      <c r="D12" s="31"/>
      <c r="E12" s="32" t="str">
        <f aca="false">IF(D12="","",D12-C12)</f>
        <v/>
      </c>
      <c r="F12" s="32" t="str">
        <f aca="false">IF(OR(D12="",D11=""),"",D12-D11)</f>
        <v/>
      </c>
      <c r="G12" s="10" t="str">
        <f aca="false">IF(D12="","",IF(D12&lt;=C12+0.2,"En ruta",IF(D12&lt;=C12+0.4,"Vigilar","Revisar")))</f>
        <v/>
      </c>
      <c r="H12" s="6"/>
      <c r="I12" s="6"/>
    </row>
    <row r="13" customFormat="false" ht="15" hidden="false" customHeight="false" outlineLevel="0" collapsed="false">
      <c r="A13" s="10" t="n">
        <v>8</v>
      </c>
      <c r="B13" s="11" t="n">
        <f aca="false">Perfil!$C$13+8*7-1</f>
        <v>46362</v>
      </c>
      <c r="C13" s="13" t="n">
        <f aca="false">Plan_12sem!D12</f>
        <v>62.25</v>
      </c>
      <c r="D13" s="31"/>
      <c r="E13" s="32" t="str">
        <f aca="false">IF(D13="","",D13-C13)</f>
        <v/>
      </c>
      <c r="F13" s="32" t="str">
        <f aca="false">IF(OR(D13="",D12=""),"",D13-D12)</f>
        <v/>
      </c>
      <c r="G13" s="10" t="str">
        <f aca="false">IF(D13="","",IF(D13&lt;=C13+0.2,"En ruta",IF(D13&lt;=C13+0.4,"Vigilar","Revisar")))</f>
        <v/>
      </c>
      <c r="H13" s="6"/>
      <c r="I13" s="6"/>
    </row>
    <row r="14" customFormat="false" ht="15" hidden="false" customHeight="false" outlineLevel="0" collapsed="false">
      <c r="A14" s="10" t="n">
        <v>9</v>
      </c>
      <c r="B14" s="11" t="n">
        <f aca="false">Perfil!$C$13+9*7-1</f>
        <v>46369</v>
      </c>
      <c r="C14" s="13" t="n">
        <f aca="false">Plan_12sem!D13</f>
        <v>61.95</v>
      </c>
      <c r="D14" s="31"/>
      <c r="E14" s="32" t="str">
        <f aca="false">IF(D14="","",D14-C14)</f>
        <v/>
      </c>
      <c r="F14" s="32" t="str">
        <f aca="false">IF(OR(D14="",D13=""),"",D14-D13)</f>
        <v/>
      </c>
      <c r="G14" s="10" t="str">
        <f aca="false">IF(D14="","",IF(D14&lt;=C14+0.2,"En ruta",IF(D14&lt;=C14+0.4,"Vigilar","Revisar")))</f>
        <v/>
      </c>
      <c r="H14" s="6"/>
      <c r="I14" s="6"/>
    </row>
    <row r="15" customFormat="false" ht="15" hidden="false" customHeight="false" outlineLevel="0" collapsed="false">
      <c r="A15" s="10" t="n">
        <v>10</v>
      </c>
      <c r="B15" s="11" t="n">
        <f aca="false">Perfil!$C$13+10*7-1</f>
        <v>46376</v>
      </c>
      <c r="C15" s="13" t="n">
        <f aca="false">Plan_12sem!D14</f>
        <v>61.65</v>
      </c>
      <c r="D15" s="31"/>
      <c r="E15" s="32" t="str">
        <f aca="false">IF(D15="","",D15-C15)</f>
        <v/>
      </c>
      <c r="F15" s="32" t="str">
        <f aca="false">IF(OR(D15="",D14=""),"",D15-D14)</f>
        <v/>
      </c>
      <c r="G15" s="10" t="str">
        <f aca="false">IF(D15="","",IF(D15&lt;=C15+0.2,"En ruta",IF(D15&lt;=C15+0.4,"Vigilar","Revisar")))</f>
        <v/>
      </c>
      <c r="H15" s="6"/>
      <c r="I15" s="6"/>
    </row>
    <row r="16" customFormat="false" ht="15" hidden="false" customHeight="false" outlineLevel="0" collapsed="false">
      <c r="A16" s="10" t="n">
        <v>11</v>
      </c>
      <c r="B16" s="11" t="n">
        <f aca="false">Perfil!$C$13+11*7-1</f>
        <v>46383</v>
      </c>
      <c r="C16" s="13" t="n">
        <f aca="false">Plan_12sem!D15</f>
        <v>61.35</v>
      </c>
      <c r="D16" s="31"/>
      <c r="E16" s="32" t="str">
        <f aca="false">IF(D16="","",D16-C16)</f>
        <v/>
      </c>
      <c r="F16" s="32" t="str">
        <f aca="false">IF(OR(D16="",D15=""),"",D16-D15)</f>
        <v/>
      </c>
      <c r="G16" s="10" t="str">
        <f aca="false">IF(D16="","",IF(D16&lt;=C16+0.2,"En ruta",IF(D16&lt;=C16+0.4,"Vigilar","Revisar")))</f>
        <v/>
      </c>
      <c r="H16" s="6"/>
      <c r="I16" s="6"/>
    </row>
    <row r="17" customFormat="false" ht="15" hidden="false" customHeight="false" outlineLevel="0" collapsed="false">
      <c r="A17" s="10" t="n">
        <v>12</v>
      </c>
      <c r="B17" s="11" t="n">
        <f aca="false">Perfil!$C$13+12*7-1</f>
        <v>46390</v>
      </c>
      <c r="C17" s="13" t="n">
        <f aca="false">Plan_12sem!D16</f>
        <v>61</v>
      </c>
      <c r="D17" s="31"/>
      <c r="E17" s="32" t="str">
        <f aca="false">IF(D17="","",D17-C17)</f>
        <v/>
      </c>
      <c r="F17" s="32" t="str">
        <f aca="false">IF(OR(D17="",D16=""),"",D17-D16)</f>
        <v/>
      </c>
      <c r="G17" s="10" t="str">
        <f aca="false">IF(D17="","",IF(D17&lt;=C17+0.2,"En ruta",IF(D17&lt;=C17+0.4,"Vigilar","Revisar")))</f>
        <v/>
      </c>
      <c r="H17" s="6"/>
      <c r="I17" s="6"/>
    </row>
    <row r="19" customFormat="false" ht="15" hidden="false" customHeight="false" outlineLevel="0" collapsed="false">
      <c r="A19" s="19" t="s">
        <v>299</v>
      </c>
    </row>
  </sheetData>
  <conditionalFormatting sqref="G5:G17">
    <cfRule type="cellIs" priority="2" operator="equal" aboveAverage="0" equalAverage="0" bottom="0" percent="0" rank="0" text="" dxfId="7">
      <formula>"En ruta"</formula>
    </cfRule>
    <cfRule type="cellIs" priority="3" operator="equal" aboveAverage="0" equalAverage="0" bottom="0" percent="0" rank="0" text="" dxfId="8">
      <formula>"Vigilar"</formula>
    </cfRule>
    <cfRule type="cellIs" priority="4" operator="equal" aboveAverage="0" equalAverage="0" bottom="0" percent="0" rank="0" text="" dxfId="0">
      <formula>"Revisar"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8"/>
    <col collapsed="false" customWidth="true" hidden="false" outlineLevel="0" max="3" min="3" style="0" width="20"/>
    <col collapsed="false" customWidth="true" hidden="false" outlineLevel="0" max="4" min="4" style="0" width="28"/>
  </cols>
  <sheetData>
    <row r="1" customFormat="false" ht="18.55" hidden="false" customHeight="false" outlineLevel="0" collapsed="false">
      <c r="A1" s="1" t="s">
        <v>300</v>
      </c>
    </row>
    <row r="2" customFormat="false" ht="15" hidden="false" customHeight="false" outlineLevel="0" collapsed="false">
      <c r="A2" s="2" t="s">
        <v>301</v>
      </c>
    </row>
    <row r="5" customFormat="false" ht="33.75" hidden="false" customHeight="true" outlineLevel="0" collapsed="false">
      <c r="A5" s="8" t="s">
        <v>302</v>
      </c>
      <c r="B5" s="8" t="s">
        <v>303</v>
      </c>
      <c r="C5" s="8" t="s">
        <v>304</v>
      </c>
      <c r="D5" s="8" t="s">
        <v>305</v>
      </c>
    </row>
    <row r="6" customFormat="false" ht="15" hidden="false" customHeight="false" outlineLevel="0" collapsed="false">
      <c r="A6" s="10" t="s">
        <v>306</v>
      </c>
      <c r="B6" s="10" t="s">
        <v>307</v>
      </c>
      <c r="C6" s="6" t="n">
        <v>38</v>
      </c>
      <c r="D6" s="10" t="s">
        <v>308</v>
      </c>
    </row>
    <row r="7" customFormat="false" ht="15" hidden="false" customHeight="false" outlineLevel="0" collapsed="false">
      <c r="A7" s="10" t="s">
        <v>309</v>
      </c>
      <c r="B7" s="10" t="s">
        <v>310</v>
      </c>
      <c r="C7" s="6" t="n">
        <v>55</v>
      </c>
      <c r="D7" s="10" t="s">
        <v>311</v>
      </c>
    </row>
    <row r="8" customFormat="false" ht="15" hidden="false" customHeight="false" outlineLevel="0" collapsed="false">
      <c r="A8" s="10" t="s">
        <v>312</v>
      </c>
      <c r="B8" s="10" t="s">
        <v>313</v>
      </c>
      <c r="C8" s="6" t="n">
        <v>60</v>
      </c>
      <c r="D8" s="10" t="s">
        <v>314</v>
      </c>
    </row>
    <row r="9" customFormat="false" ht="15" hidden="false" customHeight="false" outlineLevel="0" collapsed="false">
      <c r="A9" s="10" t="s">
        <v>315</v>
      </c>
      <c r="B9" s="10" t="s">
        <v>316</v>
      </c>
      <c r="C9" s="6" t="n">
        <v>42</v>
      </c>
      <c r="D9" s="10" t="s">
        <v>317</v>
      </c>
    </row>
    <row r="10" customFormat="false" ht="15" hidden="false" customHeight="false" outlineLevel="0" collapsed="false">
      <c r="A10" s="10" t="s">
        <v>318</v>
      </c>
      <c r="B10" s="10" t="s">
        <v>319</v>
      </c>
      <c r="C10" s="6" t="n">
        <v>44</v>
      </c>
      <c r="D10" s="10" t="s">
        <v>320</v>
      </c>
    </row>
    <row r="13" customFormat="false" ht="15" hidden="false" customHeight="false" outlineLevel="0" collapsed="false">
      <c r="A13" s="3" t="s">
        <v>321</v>
      </c>
    </row>
    <row r="14" customFormat="false" ht="28.35" hidden="false" customHeight="false" outlineLevel="0" collapsed="false">
      <c r="A14" s="0" t="s">
        <v>322</v>
      </c>
      <c r="B14" s="33" t="s">
        <v>323</v>
      </c>
    </row>
    <row r="15" customFormat="false" ht="15" hidden="false" customHeight="false" outlineLevel="0" collapsed="false">
      <c r="A15" s="0" t="s">
        <v>324</v>
      </c>
      <c r="B15" s="33" t="s">
        <v>325</v>
      </c>
    </row>
    <row r="16" customFormat="false" ht="28.35" hidden="false" customHeight="false" outlineLevel="0" collapsed="false">
      <c r="A16" s="0" t="s">
        <v>326</v>
      </c>
      <c r="B16" s="33" t="s">
        <v>327</v>
      </c>
    </row>
    <row r="17" customFormat="false" ht="28.35" hidden="false" customHeight="false" outlineLevel="0" collapsed="false">
      <c r="A17" s="0" t="s">
        <v>328</v>
      </c>
      <c r="B17" s="33" t="s">
        <v>329</v>
      </c>
    </row>
    <row r="18" customFormat="false" ht="15" hidden="false" customHeight="false" outlineLevel="0" collapsed="false">
      <c r="A18" s="0" t="s">
        <v>330</v>
      </c>
      <c r="B18" s="33" t="s">
        <v>331</v>
      </c>
    </row>
    <row r="19" customFormat="false" ht="15" hidden="false" customHeight="false" outlineLevel="0" collapsed="false">
      <c r="A19" s="0" t="s">
        <v>332</v>
      </c>
      <c r="B19" s="33" t="s">
        <v>333</v>
      </c>
    </row>
    <row r="20" customFormat="false" ht="15" hidden="false" customHeight="false" outlineLevel="0" collapsed="false">
      <c r="A20" s="0" t="s">
        <v>334</v>
      </c>
      <c r="B20" s="33" t="s">
        <v>335</v>
      </c>
    </row>
    <row r="21" customFormat="false" ht="28.35" hidden="false" customHeight="false" outlineLevel="0" collapsed="false">
      <c r="A21" s="0" t="s">
        <v>336</v>
      </c>
      <c r="B21" s="33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2026-10-12T04:05:27Z</dcterms:created>
  <dc:creator>openpyxl</dc:creator>
  <dc:description/>
  <dc:language>en-US</dc:language>
  <cp:lastModifiedBy/>
  <dcterms:modified xsi:type="dcterms:W3CDTF">2026-10-12T04:05:27Z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